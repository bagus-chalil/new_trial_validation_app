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bi\Documents\Line Configuration All Product 2026\"/>
    </mc:Choice>
  </mc:AlternateContent>
  <xr:revisionPtr revIDLastSave="0" documentId="8_{DD460AB5-3676-4075-9E7A-282ACCB5BBA1}" xr6:coauthVersionLast="47" xr6:coauthVersionMax="47" xr10:uidLastSave="{00000000-0000-0000-0000-000000000000}"/>
  <bookViews>
    <workbookView xWindow="0" yWindow="0" windowWidth="20490" windowHeight="7425" firstSheet="2" activeTab="2" xr2:uid="{C217C2C5-9BAE-4D82-BDB2-9975897B11D8}"/>
  </bookViews>
  <sheets>
    <sheet name="Ori VA Form" sheetId="10" state="hidden" r:id="rId1"/>
    <sheet name="Form" sheetId="11" r:id="rId2"/>
    <sheet name="MES Nurilab DermaCloud™ Serum" sheetId="12" r:id="rId3"/>
  </sheets>
  <definedNames>
    <definedName name="_xlnm.Print_Area" localSheetId="1">Form!$B$3:$N$64</definedName>
    <definedName name="_xlnm.Print_Area" localSheetId="2">'MES Nurilab DermaCloud™ Serum'!$B$3:$N$59</definedName>
    <definedName name="_xlnm.Print_Area" localSheetId="0">'Ori VA Form'!$B$3:$N$64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2" l="1"/>
  <c r="K13" i="12"/>
  <c r="K13" i="11"/>
  <c r="E9" i="11"/>
  <c r="K13" i="10" l="1"/>
  <c r="E9" i="10" l="1"/>
</calcChain>
</file>

<file path=xl/sharedStrings.xml><?xml version="1.0" encoding="utf-8"?>
<sst xmlns="http://schemas.openxmlformats.org/spreadsheetml/2006/main" count="245" uniqueCount="99">
  <si>
    <t>Line Configuration Report</t>
  </si>
  <si>
    <t>추가 설명</t>
  </si>
  <si>
    <t>Date</t>
  </si>
  <si>
    <t>:</t>
    <phoneticPr fontId="5" type="noConversion"/>
  </si>
  <si>
    <t>Validation</t>
    <phoneticPr fontId="5" type="noConversion"/>
  </si>
  <si>
    <t>Trial _ Shrink</t>
  </si>
  <si>
    <t>Client</t>
  </si>
  <si>
    <t>Total</t>
    <phoneticPr fontId="5" type="noConversion"/>
  </si>
  <si>
    <t>Product</t>
  </si>
  <si>
    <t>Setting</t>
    <phoneticPr fontId="5" type="noConversion"/>
  </si>
  <si>
    <t>PIC</t>
    <phoneticPr fontId="5" type="noConversion"/>
  </si>
  <si>
    <t>Fauzi</t>
  </si>
  <si>
    <t>PASS</t>
    <phoneticPr fontId="5" type="noConversion"/>
  </si>
  <si>
    <t>Operator</t>
  </si>
  <si>
    <t>Andreas</t>
  </si>
  <si>
    <t>NG</t>
    <phoneticPr fontId="5" type="noConversion"/>
  </si>
  <si>
    <t>양품 대비 불량율</t>
  </si>
  <si>
    <t>PRODUCTION STANDARD</t>
  </si>
  <si>
    <t>Line</t>
    <phoneticPr fontId="5" type="noConversion"/>
  </si>
  <si>
    <t>Workers</t>
    <phoneticPr fontId="5" type="noConversion"/>
  </si>
  <si>
    <t>Capa</t>
    <phoneticPr fontId="5" type="noConversion"/>
  </si>
  <si>
    <t>Remark</t>
    <phoneticPr fontId="5" type="noConversion"/>
  </si>
  <si>
    <t>F</t>
  </si>
  <si>
    <t>SC8</t>
  </si>
  <si>
    <t>충전 라인</t>
  </si>
  <si>
    <t>P</t>
  </si>
  <si>
    <t>Neck in shrink tunnel</t>
  </si>
  <si>
    <t>패킹 라인</t>
  </si>
  <si>
    <t>LINE CONFIGURATION</t>
  </si>
  <si>
    <t>No.</t>
  </si>
  <si>
    <t>Equipment</t>
    <phoneticPr fontId="5" type="noConversion"/>
  </si>
  <si>
    <t>Process</t>
    <phoneticPr fontId="5" type="noConversion"/>
  </si>
  <si>
    <t>Trial</t>
  </si>
  <si>
    <t>Remark</t>
  </si>
  <si>
    <t>Jireh</t>
  </si>
  <si>
    <t>Insert Bottle</t>
  </si>
  <si>
    <t>no trial</t>
  </si>
  <si>
    <t>참고 라인이며, 추 후, 양산에서 적용 불가 시, 품질, 양산성 개선을 위해 재검토, 업데이트</t>
  </si>
  <si>
    <t>Cleaning</t>
  </si>
  <si>
    <t>PIC, PIE팀 Validation 담당 및 오퍼레이터</t>
  </si>
  <si>
    <t>Filling</t>
  </si>
  <si>
    <t>Capping Plug</t>
  </si>
  <si>
    <t>Capping Cap</t>
  </si>
  <si>
    <t>Checking Weight</t>
  </si>
  <si>
    <t>Top labeller</t>
  </si>
  <si>
    <t>Labeling</t>
  </si>
  <si>
    <t>Hitachi 65mic</t>
  </si>
  <si>
    <t>Coding</t>
  </si>
  <si>
    <t>Pass</t>
  </si>
  <si>
    <t>Need guide( reference of photo )</t>
  </si>
  <si>
    <t>Vision 1 cam</t>
  </si>
  <si>
    <t>Checking Coding</t>
  </si>
  <si>
    <t>Plastic Assembly</t>
  </si>
  <si>
    <t>Shrink</t>
  </si>
  <si>
    <t>Appearance checking</t>
  </si>
  <si>
    <t>packing</t>
  </si>
  <si>
    <t>Opinion</t>
    <phoneticPr fontId="5" type="noConversion"/>
  </si>
  <si>
    <t xml:space="preserve">
- Other process is low risk so trial only shrink part
- Trial with less package can check only possiblility of mass product, not enough to test quality</t>
  </si>
  <si>
    <t>참고 필요한 라인 사진과 품질 기준 사진, 설명 예정입니다.</t>
  </si>
  <si>
    <t>상기 개선건을 기준으로 Weekly 및 Closing meeting에서 발표 예정 입니다.</t>
  </si>
  <si>
    <t>- 기존 대비 개선 인원 수</t>
  </si>
  <si>
    <t>- TCR 반영 및 개선 금액, 가동률</t>
  </si>
  <si>
    <t>진행 하면서 양식 개선 예정이며, 팀장님 검토 후, PROD Icha 및 파트리더 전달 하도록 하겠습니다.</t>
  </si>
  <si>
    <t>상기 양식은 이번주 Validaiton 수행 품목 부터 적용하고자 합니다.</t>
  </si>
  <si>
    <t>Prepared</t>
    <phoneticPr fontId="5" type="noConversion"/>
  </si>
  <si>
    <t>Approved</t>
    <phoneticPr fontId="5" type="noConversion"/>
  </si>
  <si>
    <t>Reviewed</t>
  </si>
  <si>
    <t>Return</t>
  </si>
  <si>
    <t>Prepared(PIE)</t>
  </si>
  <si>
    <t>Approved(PIE)</t>
  </si>
  <si>
    <t>Checked(PROD)</t>
  </si>
  <si>
    <t>Return(PROD)</t>
  </si>
  <si>
    <t>Trial Sealing</t>
  </si>
  <si>
    <t>JUV</t>
  </si>
  <si>
    <t>Juva by Zap Encapsulated Tinted Sunscreen SPF 50 PA++++ 30ml</t>
  </si>
  <si>
    <t>Septiawan</t>
  </si>
  <si>
    <t>PRD Speed (pcs/min)</t>
  </si>
  <si>
    <t>S10</t>
  </si>
  <si>
    <t>Base on standar productivity PROD</t>
  </si>
  <si>
    <t>SC Tube 10</t>
  </si>
  <si>
    <t>Supply Tube</t>
  </si>
  <si>
    <t>Filling&amp;sealing</t>
  </si>
  <si>
    <t>Checkweigher</t>
  </si>
  <si>
    <t>Checkweighing</t>
  </si>
  <si>
    <t>Checking Sealing Tube</t>
  </si>
  <si>
    <t>Piercing tools</t>
  </si>
  <si>
    <t>Piercing the tube</t>
  </si>
  <si>
    <t>need additional MP for special packaging</t>
  </si>
  <si>
    <t>Assembly unit box</t>
  </si>
  <si>
    <t>Input tube &amp; keychain to unit box to unit box</t>
  </si>
  <si>
    <t>Inik jet printer 65µm</t>
  </si>
  <si>
    <t>Coding unit box</t>
  </si>
  <si>
    <t>Need guide</t>
  </si>
  <si>
    <t>Seal labeler</t>
  </si>
  <si>
    <t>Sealing hologram</t>
  </si>
  <si>
    <t>Vision system</t>
  </si>
  <si>
    <t>Secondary checking</t>
  </si>
  <si>
    <t>Input to master box</t>
  </si>
  <si>
    <t>Total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</si>
</sst>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d&quot;-&quot;mmm&quot;-&quot;yy;@"/>
    <numFmt numFmtId="177" formatCode="General\ &quot;Pcs&quot;"/>
    <numFmt numFmtId="178" formatCode="[$-409]dd/mmm/yy;@"/>
  </numFmts>
  <fonts count="17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26"/>
      <name val="맑은 고딕"/>
      <family val="3"/>
      <charset val="129"/>
    </font>
    <font>
      <sz val="8"/>
      <name val="Calibri"/>
      <family val="3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2"/>
      <name val="맑은 고딕"/>
      <family val="3"/>
      <charset val="129"/>
    </font>
    <font>
      <sz val="12"/>
      <color theme="1"/>
      <name val="Calibri"/>
      <family val="3"/>
      <charset val="129"/>
      <scheme val="minor"/>
    </font>
    <font>
      <sz val="11"/>
      <color rgb="FFFFFF00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7"/>
      <name val="맑은 고딕"/>
      <family val="3"/>
      <charset val="129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DEDED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29">
    <xf numFmtId="0" fontId="0" fillId="0" borderId="0" xfId="0">
      <alignment vertical="center"/>
    </xf>
    <xf numFmtId="0" fontId="3" fillId="0" borderId="0" xfId="1"/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6" fillId="0" borderId="6" xfId="1" applyFont="1" applyBorder="1" applyAlignment="1">
      <alignment vertical="center"/>
    </xf>
    <xf numFmtId="177" fontId="7" fillId="0" borderId="6" xfId="1" applyNumberFormat="1" applyFont="1" applyBorder="1" applyAlignment="1">
      <alignment horizontal="right" vertical="center" indent="1"/>
    </xf>
    <xf numFmtId="0" fontId="7" fillId="0" borderId="6" xfId="1" applyFont="1" applyBorder="1" applyAlignment="1">
      <alignment horizontal="right" vertical="center" indent="1"/>
    </xf>
    <xf numFmtId="0" fontId="3" fillId="0" borderId="0" xfId="1" applyAlignment="1">
      <alignment horizontal="center" vertical="center"/>
    </xf>
    <xf numFmtId="0" fontId="6" fillId="3" borderId="1" xfId="1" applyFont="1" applyFill="1" applyBorder="1" applyAlignment="1">
      <alignment horizontal="center"/>
    </xf>
    <xf numFmtId="0" fontId="6" fillId="3" borderId="9" xfId="1" applyFont="1" applyFill="1" applyBorder="1" applyAlignment="1">
      <alignment horizontal="center" vertical="center" wrapText="1"/>
    </xf>
    <xf numFmtId="0" fontId="3" fillId="0" borderId="9" xfId="1" applyBorder="1" applyAlignment="1">
      <alignment horizontal="center" vertical="center" wrapText="1"/>
    </xf>
    <xf numFmtId="177" fontId="7" fillId="0" borderId="6" xfId="1" applyNumberFormat="1" applyFont="1" applyBorder="1" applyAlignment="1">
      <alignment horizontal="right" vertical="center"/>
    </xf>
    <xf numFmtId="0" fontId="3" fillId="0" borderId="8" xfId="1" applyBorder="1" applyAlignment="1">
      <alignment horizontal="center" vertical="center" wrapText="1"/>
    </xf>
    <xf numFmtId="0" fontId="9" fillId="0" borderId="0" xfId="1" applyFont="1"/>
    <xf numFmtId="0" fontId="6" fillId="0" borderId="0" xfId="1" applyFont="1" applyAlignment="1">
      <alignment horizontal="left" vertical="center" indent="1"/>
    </xf>
    <xf numFmtId="176" fontId="7" fillId="0" borderId="0" xfId="1" applyNumberFormat="1" applyFont="1" applyAlignment="1">
      <alignment horizontal="right" vertical="center" indent="1"/>
    </xf>
    <xf numFmtId="0" fontId="6" fillId="0" borderId="0" xfId="1" applyFont="1" applyAlignment="1">
      <alignment vertical="center"/>
    </xf>
    <xf numFmtId="0" fontId="7" fillId="0" borderId="0" xfId="1" applyFont="1" applyAlignment="1">
      <alignment horizontal="right" vertical="center" indent="1"/>
    </xf>
    <xf numFmtId="0" fontId="3" fillId="0" borderId="23" xfId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0" fontId="3" fillId="0" borderId="22" xfId="1" applyBorder="1" applyAlignment="1">
      <alignment horizontal="center" vertical="center" wrapText="1"/>
    </xf>
    <xf numFmtId="0" fontId="12" fillId="4" borderId="0" xfId="1" applyFont="1" applyFill="1"/>
    <xf numFmtId="0" fontId="3" fillId="4" borderId="0" xfId="1" applyFill="1"/>
    <xf numFmtId="0" fontId="9" fillId="4" borderId="0" xfId="1" applyFont="1" applyFill="1"/>
    <xf numFmtId="0" fontId="3" fillId="5" borderId="0" xfId="1" applyFill="1"/>
    <xf numFmtId="0" fontId="3" fillId="5" borderId="0" xfId="1" applyFill="1" applyAlignment="1">
      <alignment horizontal="center"/>
    </xf>
    <xf numFmtId="0" fontId="6" fillId="6" borderId="1" xfId="1" applyFont="1" applyFill="1" applyBorder="1" applyAlignment="1">
      <alignment horizontal="center"/>
    </xf>
    <xf numFmtId="0" fontId="6" fillId="6" borderId="13" xfId="1" applyFont="1" applyFill="1" applyBorder="1" applyAlignment="1">
      <alignment horizontal="center"/>
    </xf>
    <xf numFmtId="0" fontId="13" fillId="4" borderId="0" xfId="1" applyFont="1" applyFill="1"/>
    <xf numFmtId="0" fontId="10" fillId="4" borderId="0" xfId="1" applyFont="1" applyFill="1"/>
    <xf numFmtId="0" fontId="14" fillId="4" borderId="0" xfId="1" applyFont="1" applyFill="1"/>
    <xf numFmtId="0" fontId="11" fillId="4" borderId="0" xfId="1" applyFont="1" applyFill="1"/>
    <xf numFmtId="0" fontId="10" fillId="4" borderId="0" xfId="0" applyFont="1" applyFill="1">
      <alignment vertical="center"/>
    </xf>
    <xf numFmtId="0" fontId="11" fillId="4" borderId="0" xfId="0" applyFont="1" applyFill="1">
      <alignment vertical="center"/>
    </xf>
    <xf numFmtId="0" fontId="13" fillId="4" borderId="0" xfId="1" quotePrefix="1" applyFont="1" applyFill="1"/>
    <xf numFmtId="0" fontId="15" fillId="6" borderId="1" xfId="1" applyFont="1" applyFill="1" applyBorder="1" applyAlignment="1">
      <alignment horizontal="center"/>
    </xf>
    <xf numFmtId="0" fontId="15" fillId="6" borderId="13" xfId="1" applyFont="1" applyFill="1" applyBorder="1" applyAlignment="1">
      <alignment horizontal="center"/>
    </xf>
    <xf numFmtId="0" fontId="3" fillId="5" borderId="1" xfId="1" applyFill="1" applyBorder="1" applyAlignment="1">
      <alignment horizontal="center"/>
    </xf>
    <xf numFmtId="0" fontId="16" fillId="7" borderId="9" xfId="0" applyFont="1" applyFill="1" applyBorder="1">
      <alignment vertical="center"/>
    </xf>
    <xf numFmtId="0" fontId="6" fillId="3" borderId="25" xfId="1" applyFont="1" applyFill="1" applyBorder="1" applyAlignment="1">
      <alignment horizontal="center" vertical="center" wrapText="1"/>
    </xf>
    <xf numFmtId="0" fontId="6" fillId="3" borderId="26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3" fillId="0" borderId="10" xfId="1" applyBorder="1" applyAlignment="1">
      <alignment horizontal="center" vertical="center" wrapText="1"/>
    </xf>
    <xf numFmtId="0" fontId="3" fillId="0" borderId="25" xfId="1" applyBorder="1" applyAlignment="1">
      <alignment horizontal="center" vertical="center" wrapText="1"/>
    </xf>
    <xf numFmtId="0" fontId="3" fillId="0" borderId="28" xfId="1" applyBorder="1" applyAlignment="1">
      <alignment horizontal="center" vertical="center" wrapText="1"/>
    </xf>
    <xf numFmtId="0" fontId="1" fillId="0" borderId="28" xfId="1" applyFont="1" applyBorder="1" applyAlignment="1">
      <alignment horizontal="left" vertical="center" wrapText="1"/>
    </xf>
    <xf numFmtId="0" fontId="1" fillId="0" borderId="9" xfId="1" applyFont="1" applyBorder="1" applyAlignment="1">
      <alignment vertical="center" wrapText="1"/>
    </xf>
    <xf numFmtId="0" fontId="1" fillId="0" borderId="7" xfId="1" applyFont="1" applyBorder="1" applyAlignment="1">
      <alignment horizontal="center" vertical="center" wrapText="1"/>
    </xf>
    <xf numFmtId="0" fontId="3" fillId="0" borderId="9" xfId="1" applyBorder="1"/>
    <xf numFmtId="0" fontId="1" fillId="0" borderId="9" xfId="1" applyFont="1" applyBorder="1" applyAlignment="1">
      <alignment vertical="center"/>
    </xf>
    <xf numFmtId="0" fontId="3" fillId="0" borderId="13" xfId="1" applyBorder="1" applyAlignment="1">
      <alignment horizontal="center" vertical="center" wrapText="1"/>
    </xf>
    <xf numFmtId="0" fontId="16" fillId="7" borderId="25" xfId="0" applyFont="1" applyFill="1" applyBorder="1" applyAlignment="1">
      <alignment vertical="center" wrapText="1"/>
    </xf>
    <xf numFmtId="0" fontId="3" fillId="0" borderId="9" xfId="1" applyBorder="1" applyAlignment="1">
      <alignment horizontal="center"/>
    </xf>
    <xf numFmtId="0" fontId="3" fillId="0" borderId="10" xfId="1" applyBorder="1" applyAlignment="1">
      <alignment horizontal="left" vertical="center" wrapText="1"/>
    </xf>
    <xf numFmtId="0" fontId="3" fillId="0" borderId="12" xfId="1" applyBorder="1" applyAlignment="1">
      <alignment horizontal="left" vertical="center" wrapText="1"/>
    </xf>
    <xf numFmtId="0" fontId="3" fillId="0" borderId="9" xfId="1" applyBorder="1" applyAlignment="1">
      <alignment horizontal="left" vertical="center" wrapText="1"/>
    </xf>
    <xf numFmtId="0" fontId="1" fillId="0" borderId="10" xfId="1" applyFont="1" applyBorder="1" applyAlignment="1">
      <alignment horizontal="left" vertical="center" wrapText="1"/>
    </xf>
    <xf numFmtId="0" fontId="1" fillId="0" borderId="12" xfId="1" applyFont="1" applyBorder="1" applyAlignment="1">
      <alignment horizontal="left" vertical="center" wrapText="1"/>
    </xf>
    <xf numFmtId="0" fontId="3" fillId="0" borderId="11" xfId="1" applyBorder="1" applyAlignment="1">
      <alignment horizontal="left" vertical="center" wrapText="1"/>
    </xf>
    <xf numFmtId="0" fontId="3" fillId="0" borderId="10" xfId="1" applyBorder="1" applyAlignment="1">
      <alignment horizontal="center"/>
    </xf>
    <xf numFmtId="0" fontId="3" fillId="0" borderId="12" xfId="1" applyBorder="1" applyAlignment="1">
      <alignment horizontal="center"/>
    </xf>
    <xf numFmtId="0" fontId="3" fillId="0" borderId="11" xfId="1" applyBorder="1" applyAlignment="1">
      <alignment horizontal="center"/>
    </xf>
    <xf numFmtId="0" fontId="3" fillId="0" borderId="7" xfId="1" applyBorder="1" applyAlignment="1">
      <alignment horizontal="left" vertical="center" wrapText="1"/>
    </xf>
    <xf numFmtId="0" fontId="3" fillId="0" borderId="29" xfId="1" applyBorder="1" applyAlignment="1">
      <alignment horizontal="left" vertical="center" wrapText="1"/>
    </xf>
    <xf numFmtId="0" fontId="1" fillId="0" borderId="9" xfId="1" applyFont="1" applyBorder="1" applyAlignment="1">
      <alignment horizontal="left" vertical="center" wrapText="1"/>
    </xf>
    <xf numFmtId="0" fontId="1" fillId="0" borderId="10" xfId="1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8" fillId="2" borderId="0" xfId="1" applyFont="1" applyFill="1" applyAlignment="1">
      <alignment horizontal="left" vertical="center" indent="1"/>
    </xf>
    <xf numFmtId="0" fontId="9" fillId="0" borderId="0" xfId="1" applyFont="1" applyAlignment="1">
      <alignment horizontal="left" vertical="center" indent="1"/>
    </xf>
    <xf numFmtId="0" fontId="1" fillId="0" borderId="14" xfId="1" applyFont="1" applyBorder="1" applyAlignment="1">
      <alignment horizontal="left" vertical="top" wrapText="1" indent="1"/>
    </xf>
    <xf numFmtId="0" fontId="3" fillId="0" borderId="15" xfId="1" applyBorder="1" applyAlignment="1">
      <alignment horizontal="left" vertical="top" indent="1"/>
    </xf>
    <xf numFmtId="0" fontId="3" fillId="0" borderId="16" xfId="1" applyBorder="1" applyAlignment="1">
      <alignment horizontal="left" vertical="top" indent="1"/>
    </xf>
    <xf numFmtId="0" fontId="3" fillId="0" borderId="5" xfId="1" applyBorder="1" applyAlignment="1">
      <alignment horizontal="left" vertical="top" indent="1"/>
    </xf>
    <xf numFmtId="0" fontId="3" fillId="0" borderId="0" xfId="1" applyAlignment="1">
      <alignment horizontal="left" vertical="top" indent="1"/>
    </xf>
    <xf numFmtId="0" fontId="3" fillId="0" borderId="17" xfId="1" applyBorder="1" applyAlignment="1">
      <alignment horizontal="left" vertical="top" indent="1"/>
    </xf>
    <xf numFmtId="0" fontId="3" fillId="0" borderId="18" xfId="1" applyBorder="1" applyAlignment="1">
      <alignment horizontal="left" vertical="top" indent="1"/>
    </xf>
    <xf numFmtId="0" fontId="3" fillId="0" borderId="6" xfId="1" applyBorder="1" applyAlignment="1">
      <alignment horizontal="left" vertical="top" indent="1"/>
    </xf>
    <xf numFmtId="0" fontId="3" fillId="0" borderId="19" xfId="1" applyBorder="1" applyAlignment="1">
      <alignment horizontal="left" vertical="top" indent="1"/>
    </xf>
    <xf numFmtId="0" fontId="3" fillId="0" borderId="10" xfId="1" applyBorder="1" applyAlignment="1">
      <alignment horizontal="center" vertical="center" wrapText="1"/>
    </xf>
    <xf numFmtId="0" fontId="3" fillId="0" borderId="12" xfId="1" applyBorder="1" applyAlignment="1">
      <alignment horizontal="center" vertical="center" wrapText="1"/>
    </xf>
    <xf numFmtId="0" fontId="3" fillId="0" borderId="11" xfId="1" applyBorder="1" applyAlignment="1">
      <alignment horizontal="center" vertical="center" wrapText="1"/>
    </xf>
    <xf numFmtId="0" fontId="3" fillId="5" borderId="2" xfId="1" applyFill="1" applyBorder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3" fillId="5" borderId="4" xfId="1" applyFill="1" applyBorder="1" applyAlignment="1">
      <alignment horizontal="center" vertical="center"/>
    </xf>
    <xf numFmtId="0" fontId="3" fillId="0" borderId="7" xfId="1" applyBorder="1" applyAlignment="1">
      <alignment horizontal="center" vertical="center" wrapText="1"/>
    </xf>
    <xf numFmtId="0" fontId="3" fillId="0" borderId="29" xfId="1" applyBorder="1" applyAlignment="1">
      <alignment horizontal="center" vertical="center" wrapText="1"/>
    </xf>
    <xf numFmtId="0" fontId="3" fillId="0" borderId="8" xfId="1" applyBorder="1" applyAlignment="1">
      <alignment horizontal="center" vertical="center" wrapText="1"/>
    </xf>
    <xf numFmtId="0" fontId="1" fillId="0" borderId="9" xfId="1" applyFont="1" applyBorder="1" applyAlignment="1">
      <alignment vertical="center" wrapText="1"/>
    </xf>
    <xf numFmtId="0" fontId="3" fillId="0" borderId="9" xfId="1" applyBorder="1" applyAlignment="1">
      <alignment vertical="center" wrapText="1"/>
    </xf>
    <xf numFmtId="0" fontId="3" fillId="0" borderId="10" xfId="1" applyBorder="1" applyAlignment="1">
      <alignment vertical="center" wrapText="1"/>
    </xf>
    <xf numFmtId="0" fontId="3" fillId="0" borderId="9" xfId="1" applyBorder="1" applyAlignment="1">
      <alignment horizontal="center" vertical="center" wrapText="1"/>
    </xf>
    <xf numFmtId="0" fontId="3" fillId="0" borderId="10" xfId="1" applyBorder="1" applyAlignment="1">
      <alignment horizontal="left"/>
    </xf>
    <xf numFmtId="0" fontId="3" fillId="0" borderId="12" xfId="1" applyBorder="1" applyAlignment="1">
      <alignment horizontal="left"/>
    </xf>
    <xf numFmtId="0" fontId="1" fillId="0" borderId="25" xfId="1" applyFont="1" applyBorder="1" applyAlignment="1">
      <alignment horizontal="left" vertical="center" wrapText="1"/>
    </xf>
    <xf numFmtId="0" fontId="3" fillId="0" borderId="25" xfId="1" applyBorder="1" applyAlignment="1">
      <alignment horizontal="left" vertical="center" wrapText="1"/>
    </xf>
    <xf numFmtId="0" fontId="3" fillId="0" borderId="13" xfId="1" applyBorder="1" applyAlignment="1">
      <alignment horizontal="center" vertical="center" wrapText="1"/>
    </xf>
    <xf numFmtId="0" fontId="3" fillId="0" borderId="25" xfId="1" applyBorder="1" applyAlignment="1">
      <alignment horizontal="center" vertical="center" wrapText="1"/>
    </xf>
    <xf numFmtId="0" fontId="6" fillId="3" borderId="26" xfId="1" applyFont="1" applyFill="1" applyBorder="1" applyAlignment="1">
      <alignment horizontal="center" vertical="center" wrapText="1"/>
    </xf>
    <xf numFmtId="0" fontId="6" fillId="3" borderId="27" xfId="1" applyFont="1" applyFill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left" vertical="center" indent="1"/>
    </xf>
    <xf numFmtId="176" fontId="7" fillId="0" borderId="6" xfId="1" applyNumberFormat="1" applyFont="1" applyBorder="1" applyAlignment="1">
      <alignment horizontal="right" vertical="center" indent="1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1" fillId="0" borderId="20" xfId="1" applyFont="1" applyBorder="1" applyAlignment="1">
      <alignment horizontal="left" vertical="center" wrapText="1"/>
    </xf>
    <xf numFmtId="0" fontId="3" fillId="0" borderId="21" xfId="1" applyBorder="1" applyAlignment="1">
      <alignment horizontal="left" vertical="center" wrapText="1"/>
    </xf>
    <xf numFmtId="176" fontId="7" fillId="0" borderId="6" xfId="1" applyNumberFormat="1" applyFont="1" applyBorder="1" applyAlignment="1">
      <alignment horizontal="right" vertical="center" wrapText="1" indent="1"/>
    </xf>
    <xf numFmtId="0" fontId="4" fillId="0" borderId="0" xfId="1" applyFont="1" applyAlignment="1">
      <alignment horizontal="left" vertical="center" indent="14"/>
    </xf>
    <xf numFmtId="0" fontId="4" fillId="0" borderId="6" xfId="1" applyFont="1" applyBorder="1" applyAlignment="1">
      <alignment horizontal="left" vertical="center" indent="14"/>
    </xf>
    <xf numFmtId="178" fontId="7" fillId="0" borderId="6" xfId="1" applyNumberFormat="1" applyFont="1" applyBorder="1" applyAlignment="1">
      <alignment horizontal="right" vertical="center" indent="1"/>
    </xf>
    <xf numFmtId="0" fontId="3" fillId="0" borderId="24" xfId="1" applyBorder="1" applyAlignment="1">
      <alignment horizontal="center" vertical="center" wrapText="1"/>
    </xf>
    <xf numFmtId="0" fontId="3" fillId="0" borderId="24" xfId="1" applyBorder="1" applyAlignment="1">
      <alignment horizontal="left" vertical="center" wrapText="1"/>
    </xf>
    <xf numFmtId="0" fontId="6" fillId="3" borderId="10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/>
    </xf>
    <xf numFmtId="0" fontId="3" fillId="0" borderId="20" xfId="1" applyBorder="1" applyAlignment="1">
      <alignment horizontal="center" vertical="center" wrapText="1"/>
    </xf>
    <xf numFmtId="0" fontId="3" fillId="0" borderId="21" xfId="1" applyBorder="1" applyAlignment="1">
      <alignment horizontal="center" vertical="center" wrapText="1"/>
    </xf>
    <xf numFmtId="0" fontId="3" fillId="0" borderId="23" xfId="1" applyBorder="1" applyAlignment="1">
      <alignment horizontal="left" vertical="center" wrapText="1"/>
    </xf>
    <xf numFmtId="0" fontId="4" fillId="0" borderId="0" xfId="1" applyFont="1" applyAlignment="1">
      <alignment horizontal="left" vertical="center" indent="12"/>
    </xf>
    <xf numFmtId="0" fontId="4" fillId="0" borderId="6" xfId="1" applyFont="1" applyBorder="1" applyAlignment="1">
      <alignment horizontal="left" vertical="center" indent="12"/>
    </xf>
    <xf numFmtId="0" fontId="6" fillId="3" borderId="2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  <xf numFmtId="0" fontId="6" fillId="3" borderId="4" xfId="1" applyFont="1" applyFill="1" applyBorder="1" applyAlignment="1">
      <alignment horizontal="center"/>
    </xf>
    <xf numFmtId="0" fontId="3" fillId="0" borderId="23" xfId="1" applyBorder="1" applyAlignment="1">
      <alignment horizontal="center" vertical="center" wrapText="1"/>
    </xf>
    <xf numFmtId="0" fontId="3" fillId="0" borderId="14" xfId="1" applyBorder="1" applyAlignment="1">
      <alignment horizontal="left" vertical="top" wrapText="1" indent="1"/>
    </xf>
  </cellXfs>
  <cellStyles count="2">
    <cellStyle name="Normal" xfId="0" builtinId="0"/>
    <cellStyle name="표준 2" xfId="1" xr:uid="{790521D4-F198-48B5-AADB-B0DBD7E4CF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447675</xdr:colOff>
      <xdr:row>2</xdr:row>
      <xdr:rowOff>152400</xdr:rowOff>
    </xdr:from>
    <xdr:to>
      <xdr:col>13</xdr:col>
      <xdr:colOff>702945</xdr:colOff>
      <xdr:row>6</xdr:row>
      <xdr:rowOff>171450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73CC620-B306-463A-863C-11B92B0B0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514350"/>
          <a:ext cx="281940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455545</xdr:colOff>
      <xdr:row>2</xdr:row>
      <xdr:rowOff>17228</xdr:rowOff>
    </xdr:from>
    <xdr:to>
      <xdr:col>13</xdr:col>
      <xdr:colOff>728623</xdr:colOff>
      <xdr:row>7</xdr:row>
      <xdr:rowOff>2650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77E31B2-384D-4FC7-B459-4E31B28D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2" y="381663"/>
          <a:ext cx="2832404" cy="921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455545</xdr:colOff>
      <xdr:row>2</xdr:row>
      <xdr:rowOff>17228</xdr:rowOff>
    </xdr:from>
    <xdr:to>
      <xdr:col>14</xdr:col>
      <xdr:colOff>3603</xdr:colOff>
      <xdr:row>6</xdr:row>
      <xdr:rowOff>164575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1F024254-EDBF-42F6-B71F-919327876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2545" y="379178"/>
          <a:ext cx="3102003" cy="918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C34F-644B-45DA-97BD-0C9CBC0801B1}">
  <sheetPr>
    <pageSetUpPr fitToPage="1"/>
  </sheetPr>
  <dimension ref="B5:AA70"/>
  <sheetViews>
    <sheetView showGridLines="0" view="pageBreakPreview" zoomScaleNormal="85" zoomScaleSheetLayoutView="100" workbookViewId="0">
      <selection activeCell="U27" sqref="U27"/>
    </sheetView>
  </sheetViews>
  <sheetFormatPr defaultColWidth="9" defaultRowHeight="15"/>
  <cols>
    <col min="1" max="1" width="5.375" style="1" customWidth="1"/>
    <col min="2" max="2" width="4.375" style="1" customWidth="1"/>
    <col min="3" max="3" width="12.125" style="1" customWidth="1"/>
    <col min="4" max="4" width="2.125" style="1" customWidth="1"/>
    <col min="5" max="5" width="8.375" style="1" customWidth="1"/>
    <col min="6" max="6" width="10.625" style="1" customWidth="1"/>
    <col min="7" max="7" width="20.125" style="1" customWidth="1"/>
    <col min="8" max="8" width="8.125" style="1" customWidth="1"/>
    <col min="9" max="9" width="11.375" style="1" customWidth="1"/>
    <col min="10" max="10" width="2.125" style="1" customWidth="1"/>
    <col min="11" max="11" width="15.875" style="1" customWidth="1"/>
    <col min="12" max="14" width="10.625" style="1" customWidth="1"/>
    <col min="15" max="15" width="9" style="1"/>
    <col min="16" max="16" width="9" style="22"/>
    <col min="17" max="17" width="9" style="23"/>
    <col min="18" max="18" width="9" style="23" customWidth="1"/>
    <col min="19" max="22" width="10.125" style="23" customWidth="1"/>
    <col min="23" max="27" width="9" style="23"/>
    <col min="28" max="16384" width="9" style="1"/>
  </cols>
  <sheetData>
    <row r="5" spans="2:27" ht="17.100000000000001" customHeight="1">
      <c r="B5" s="122" t="s">
        <v>0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</row>
    <row r="6" spans="2:27"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</row>
    <row r="7" spans="2:27"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P7" s="29" t="s">
        <v>1</v>
      </c>
      <c r="Q7" s="30"/>
      <c r="R7" s="30"/>
      <c r="S7" s="30"/>
      <c r="T7" s="30"/>
      <c r="U7" s="30"/>
      <c r="V7" s="30"/>
    </row>
    <row r="8" spans="2:27">
      <c r="P8" s="29"/>
      <c r="Q8" s="30"/>
      <c r="R8" s="30"/>
      <c r="S8" s="30"/>
      <c r="T8" s="30"/>
      <c r="U8" s="30"/>
      <c r="V8" s="30"/>
    </row>
    <row r="9" spans="2:27" ht="16.5">
      <c r="B9" s="101" t="s">
        <v>2</v>
      </c>
      <c r="C9" s="101"/>
      <c r="D9" s="2" t="s">
        <v>3</v>
      </c>
      <c r="E9" s="102">
        <f ca="1">TODAY()</f>
        <v>46280</v>
      </c>
      <c r="F9" s="102"/>
      <c r="G9" s="102"/>
      <c r="H9" s="3"/>
      <c r="I9" s="4" t="s">
        <v>4</v>
      </c>
      <c r="J9" s="2" t="s">
        <v>3</v>
      </c>
      <c r="K9" s="11" t="s">
        <v>5</v>
      </c>
      <c r="N9" s="2"/>
      <c r="P9" s="29"/>
      <c r="Q9" s="30"/>
      <c r="R9" s="30"/>
      <c r="S9" s="30"/>
      <c r="T9" s="30"/>
      <c r="U9" s="30"/>
      <c r="V9" s="30"/>
    </row>
    <row r="10" spans="2:27" ht="16.5">
      <c r="B10" s="101" t="s">
        <v>6</v>
      </c>
      <c r="C10" s="101"/>
      <c r="D10" s="2" t="s">
        <v>3</v>
      </c>
      <c r="E10" s="102"/>
      <c r="F10" s="102"/>
      <c r="G10" s="102"/>
      <c r="H10" s="3"/>
      <c r="I10" s="4" t="s">
        <v>7</v>
      </c>
      <c r="J10" s="2" t="s">
        <v>3</v>
      </c>
      <c r="K10" s="5">
        <v>100</v>
      </c>
      <c r="N10" s="2"/>
      <c r="P10" s="29"/>
      <c r="Q10" s="30"/>
      <c r="R10" s="30"/>
      <c r="S10" s="30"/>
      <c r="T10" s="30"/>
      <c r="U10" s="30"/>
      <c r="V10" s="30"/>
    </row>
    <row r="11" spans="2:27" ht="16.5">
      <c r="B11" s="101" t="s">
        <v>8</v>
      </c>
      <c r="C11" s="101"/>
      <c r="D11" s="2" t="s">
        <v>3</v>
      </c>
      <c r="E11" s="102"/>
      <c r="F11" s="102"/>
      <c r="G11" s="102"/>
      <c r="H11" s="3"/>
      <c r="I11" s="4" t="s">
        <v>9</v>
      </c>
      <c r="J11" s="2" t="s">
        <v>3</v>
      </c>
      <c r="K11" s="5">
        <v>20</v>
      </c>
      <c r="N11" s="2"/>
      <c r="P11" s="29"/>
      <c r="Q11" s="30"/>
      <c r="R11" s="30"/>
      <c r="S11" s="30"/>
      <c r="T11" s="30"/>
      <c r="U11" s="30"/>
      <c r="V11" s="30"/>
    </row>
    <row r="12" spans="2:27" ht="16.5">
      <c r="B12" s="101" t="s">
        <v>10</v>
      </c>
      <c r="C12" s="101"/>
      <c r="D12" s="2" t="s">
        <v>3</v>
      </c>
      <c r="E12" s="102" t="s">
        <v>11</v>
      </c>
      <c r="F12" s="102"/>
      <c r="G12" s="102"/>
      <c r="H12" s="3"/>
      <c r="I12" s="4" t="s">
        <v>12</v>
      </c>
      <c r="J12" s="2" t="s">
        <v>3</v>
      </c>
      <c r="K12" s="5">
        <v>70</v>
      </c>
      <c r="N12" s="2"/>
      <c r="P12" s="29"/>
      <c r="Q12" s="30"/>
      <c r="R12" s="30"/>
      <c r="S12" s="30"/>
      <c r="T12" s="30"/>
      <c r="U12" s="30"/>
      <c r="V12" s="30"/>
    </row>
    <row r="13" spans="2:27" ht="16.5">
      <c r="B13" s="101" t="s">
        <v>13</v>
      </c>
      <c r="C13" s="101"/>
      <c r="D13" s="2" t="s">
        <v>3</v>
      </c>
      <c r="E13" s="102" t="s">
        <v>14</v>
      </c>
      <c r="F13" s="102"/>
      <c r="G13" s="102"/>
      <c r="H13" s="3"/>
      <c r="I13" s="4" t="s">
        <v>15</v>
      </c>
      <c r="J13" s="2" t="s">
        <v>3</v>
      </c>
      <c r="K13" s="6" t="str">
        <f>(K10-K11-K12)&amp;" Pcs"&amp;" ("&amp;TEXT((K10-K11-K12)/K12,"0%")&amp;")"</f>
        <v>10 Pcs (14%)</v>
      </c>
      <c r="L13" s="7"/>
      <c r="M13" s="7"/>
      <c r="N13" s="7"/>
      <c r="P13" s="29" t="s">
        <v>16</v>
      </c>
      <c r="Q13" s="30"/>
      <c r="R13" s="30"/>
      <c r="S13" s="30"/>
      <c r="T13" s="30"/>
      <c r="U13" s="30"/>
      <c r="V13" s="30"/>
    </row>
    <row r="14" spans="2:27" ht="16.5">
      <c r="B14" s="14"/>
      <c r="C14" s="14"/>
      <c r="D14" s="2"/>
      <c r="E14" s="15"/>
      <c r="F14" s="15"/>
      <c r="G14" s="15"/>
      <c r="H14" s="3"/>
      <c r="I14" s="16"/>
      <c r="J14" s="2"/>
      <c r="K14" s="17"/>
      <c r="L14" s="7"/>
      <c r="M14" s="7"/>
      <c r="N14" s="7"/>
      <c r="P14" s="29"/>
      <c r="Q14" s="30"/>
      <c r="R14" s="30"/>
      <c r="S14" s="30"/>
      <c r="T14" s="30"/>
      <c r="U14" s="30"/>
      <c r="V14" s="30"/>
    </row>
    <row r="15" spans="2:27">
      <c r="P15" s="29"/>
      <c r="Q15" s="30"/>
      <c r="R15" s="30"/>
      <c r="S15" s="30"/>
      <c r="T15" s="30"/>
      <c r="U15" s="30"/>
      <c r="V15" s="30"/>
    </row>
    <row r="16" spans="2:27" s="13" customFormat="1" ht="23.45" customHeight="1">
      <c r="B16" s="68" t="s">
        <v>17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P16" s="31"/>
      <c r="Q16" s="32"/>
      <c r="R16" s="32"/>
      <c r="S16" s="32"/>
      <c r="T16" s="32"/>
      <c r="U16" s="32"/>
      <c r="V16" s="32"/>
      <c r="W16" s="24"/>
      <c r="X16" s="24"/>
      <c r="Y16" s="24"/>
      <c r="Z16" s="24"/>
      <c r="AA16" s="24"/>
    </row>
    <row r="17" spans="2:27" ht="16.5">
      <c r="B17" s="118" t="s">
        <v>18</v>
      </c>
      <c r="C17" s="118"/>
      <c r="D17" s="118" t="s">
        <v>19</v>
      </c>
      <c r="E17" s="118"/>
      <c r="F17" s="8" t="s">
        <v>20</v>
      </c>
      <c r="G17" s="124" t="s">
        <v>21</v>
      </c>
      <c r="H17" s="125"/>
      <c r="I17" s="125"/>
      <c r="J17" s="125"/>
      <c r="K17" s="125"/>
      <c r="L17" s="125"/>
      <c r="M17" s="125"/>
      <c r="N17" s="126"/>
      <c r="P17" s="29"/>
      <c r="Q17" s="30"/>
      <c r="R17" s="33"/>
      <c r="S17" s="30"/>
      <c r="T17" s="30"/>
      <c r="U17" s="30"/>
      <c r="V17" s="30"/>
    </row>
    <row r="18" spans="2:27" ht="14.45" customHeight="1">
      <c r="B18" s="20" t="s">
        <v>22</v>
      </c>
      <c r="C18" s="20" t="s">
        <v>23</v>
      </c>
      <c r="D18" s="85">
        <v>3</v>
      </c>
      <c r="E18" s="87"/>
      <c r="F18" s="12">
        <v>45</v>
      </c>
      <c r="G18" s="119"/>
      <c r="H18" s="120"/>
      <c r="I18" s="120"/>
      <c r="J18" s="120"/>
      <c r="K18" s="120"/>
      <c r="L18" s="120"/>
      <c r="M18" s="120"/>
      <c r="N18" s="120"/>
      <c r="P18" s="29" t="s">
        <v>24</v>
      </c>
      <c r="Q18" s="30"/>
      <c r="R18" s="33"/>
      <c r="S18" s="30"/>
      <c r="T18" s="30"/>
      <c r="U18" s="30"/>
      <c r="V18" s="30"/>
    </row>
    <row r="19" spans="2:27" ht="14.45" customHeight="1">
      <c r="B19" s="20" t="s">
        <v>25</v>
      </c>
      <c r="C19" s="20" t="s">
        <v>23</v>
      </c>
      <c r="D19" s="85">
        <v>5</v>
      </c>
      <c r="E19" s="87"/>
      <c r="F19" s="12">
        <v>35</v>
      </c>
      <c r="G19" s="119" t="s">
        <v>26</v>
      </c>
      <c r="H19" s="120"/>
      <c r="I19" s="120"/>
      <c r="J19" s="120"/>
      <c r="K19" s="120"/>
      <c r="L19" s="120"/>
      <c r="M19" s="120"/>
      <c r="N19" s="120"/>
      <c r="P19" s="29" t="s">
        <v>27</v>
      </c>
      <c r="Q19" s="30"/>
      <c r="R19" s="33"/>
      <c r="S19" s="30"/>
      <c r="T19" s="30"/>
      <c r="U19" s="30"/>
      <c r="V19" s="30"/>
    </row>
    <row r="20" spans="2:27">
      <c r="P20" s="29"/>
      <c r="Q20" s="30"/>
      <c r="R20" s="33"/>
      <c r="S20" s="30"/>
      <c r="T20" s="30"/>
      <c r="U20" s="30"/>
      <c r="V20" s="30"/>
    </row>
    <row r="21" spans="2:27" s="13" customFormat="1" ht="23.45" customHeight="1">
      <c r="B21" s="68" t="s">
        <v>28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P21" s="31"/>
      <c r="Q21" s="32"/>
      <c r="R21" s="34"/>
      <c r="S21" s="32"/>
      <c r="T21" s="32"/>
      <c r="U21" s="32"/>
      <c r="V21" s="32"/>
      <c r="W21" s="24"/>
      <c r="X21" s="24"/>
      <c r="Y21" s="24"/>
      <c r="Z21" s="24"/>
      <c r="AA21" s="24"/>
    </row>
    <row r="22" spans="2:27" ht="17.100000000000001" customHeight="1">
      <c r="B22" s="9" t="s">
        <v>29</v>
      </c>
      <c r="C22" s="9" t="s">
        <v>30</v>
      </c>
      <c r="D22" s="115" t="s">
        <v>31</v>
      </c>
      <c r="E22" s="116"/>
      <c r="F22" s="116"/>
      <c r="G22" s="117"/>
      <c r="H22" s="9" t="s">
        <v>19</v>
      </c>
      <c r="I22" s="19" t="s">
        <v>32</v>
      </c>
      <c r="J22" s="115" t="s">
        <v>33</v>
      </c>
      <c r="K22" s="116"/>
      <c r="L22" s="116"/>
      <c r="M22" s="116"/>
      <c r="N22" s="117"/>
      <c r="P22" s="29"/>
      <c r="Q22" s="30"/>
      <c r="R22" s="33"/>
      <c r="S22" s="30"/>
      <c r="T22" s="30"/>
      <c r="U22" s="30"/>
      <c r="V22" s="30"/>
    </row>
    <row r="23" spans="2:27">
      <c r="B23" s="10">
        <v>1</v>
      </c>
      <c r="C23" s="21" t="s">
        <v>34</v>
      </c>
      <c r="D23" s="121" t="s">
        <v>35</v>
      </c>
      <c r="E23" s="121"/>
      <c r="F23" s="121"/>
      <c r="G23" s="121"/>
      <c r="H23" s="18">
        <v>1</v>
      </c>
      <c r="I23" s="18" t="s">
        <v>36</v>
      </c>
      <c r="J23" s="113"/>
      <c r="K23" s="80"/>
      <c r="L23" s="80"/>
      <c r="M23" s="80"/>
      <c r="N23" s="81"/>
      <c r="P23" s="29" t="s">
        <v>37</v>
      </c>
      <c r="Q23" s="30"/>
      <c r="R23" s="30"/>
      <c r="S23" s="30"/>
      <c r="T23" s="30"/>
      <c r="U23" s="30"/>
      <c r="V23" s="30"/>
    </row>
    <row r="24" spans="2:27" ht="14.45" customHeight="1">
      <c r="B24" s="10">
        <v>2</v>
      </c>
      <c r="C24" s="21"/>
      <c r="D24" s="121" t="s">
        <v>38</v>
      </c>
      <c r="E24" s="121"/>
      <c r="F24" s="121"/>
      <c r="G24" s="121"/>
      <c r="H24" s="18"/>
      <c r="I24" s="18" t="s">
        <v>36</v>
      </c>
      <c r="J24" s="113"/>
      <c r="K24" s="80"/>
      <c r="L24" s="80"/>
      <c r="M24" s="80"/>
      <c r="N24" s="81"/>
      <c r="P24" s="29" t="s">
        <v>39</v>
      </c>
      <c r="Q24" s="30"/>
      <c r="R24" s="29"/>
      <c r="S24" s="30"/>
      <c r="T24" s="30"/>
      <c r="U24" s="30"/>
      <c r="V24" s="30"/>
    </row>
    <row r="25" spans="2:27" ht="14.45" customHeight="1">
      <c r="B25" s="10">
        <v>3</v>
      </c>
      <c r="C25" s="21"/>
      <c r="D25" s="121" t="s">
        <v>40</v>
      </c>
      <c r="E25" s="121"/>
      <c r="F25" s="121"/>
      <c r="G25" s="121"/>
      <c r="H25" s="18"/>
      <c r="I25" s="18" t="s">
        <v>36</v>
      </c>
      <c r="J25" s="113"/>
      <c r="K25" s="80"/>
      <c r="L25" s="80"/>
      <c r="M25" s="80"/>
      <c r="N25" s="81"/>
      <c r="P25" s="29"/>
      <c r="Q25" s="30"/>
      <c r="R25" s="30"/>
      <c r="S25" s="30"/>
      <c r="T25" s="30"/>
      <c r="U25" s="30"/>
      <c r="V25" s="30"/>
    </row>
    <row r="26" spans="2:27" ht="14.45" customHeight="1">
      <c r="B26" s="10">
        <v>4</v>
      </c>
      <c r="C26" s="21"/>
      <c r="D26" s="121" t="s">
        <v>41</v>
      </c>
      <c r="E26" s="121"/>
      <c r="F26" s="121"/>
      <c r="G26" s="121"/>
      <c r="H26" s="18">
        <v>2</v>
      </c>
      <c r="I26" s="18" t="s">
        <v>36</v>
      </c>
      <c r="J26" s="113"/>
      <c r="K26" s="80"/>
      <c r="L26" s="80"/>
      <c r="M26" s="80"/>
      <c r="N26" s="81"/>
      <c r="P26" s="29"/>
      <c r="Q26" s="30"/>
      <c r="R26" s="30"/>
      <c r="S26" s="30"/>
      <c r="T26" s="30"/>
      <c r="U26" s="30"/>
      <c r="V26" s="30"/>
    </row>
    <row r="27" spans="2:27" ht="14.45" customHeight="1">
      <c r="B27" s="10">
        <v>5</v>
      </c>
      <c r="C27" s="21"/>
      <c r="D27" s="121" t="s">
        <v>42</v>
      </c>
      <c r="E27" s="121"/>
      <c r="F27" s="121"/>
      <c r="G27" s="121"/>
      <c r="H27" s="18"/>
      <c r="I27" s="18" t="s">
        <v>36</v>
      </c>
      <c r="J27" s="113"/>
      <c r="K27" s="80"/>
      <c r="L27" s="80"/>
      <c r="M27" s="80"/>
      <c r="N27" s="81"/>
      <c r="P27" s="29"/>
      <c r="Q27" s="30"/>
      <c r="R27" s="30"/>
      <c r="S27" s="30"/>
      <c r="T27" s="30"/>
      <c r="U27" s="30"/>
      <c r="V27" s="30"/>
    </row>
    <row r="28" spans="2:27" ht="14.45" customHeight="1">
      <c r="B28" s="10">
        <v>6</v>
      </c>
      <c r="C28" s="21"/>
      <c r="D28" s="121" t="s">
        <v>43</v>
      </c>
      <c r="E28" s="121"/>
      <c r="F28" s="121"/>
      <c r="G28" s="121"/>
      <c r="H28" s="18"/>
      <c r="I28" s="18" t="s">
        <v>36</v>
      </c>
      <c r="J28" s="113"/>
      <c r="K28" s="80"/>
      <c r="L28" s="80"/>
      <c r="M28" s="80"/>
      <c r="N28" s="81"/>
      <c r="P28" s="29"/>
      <c r="Q28" s="30"/>
      <c r="R28" s="30"/>
      <c r="S28" s="30"/>
      <c r="T28" s="30"/>
      <c r="U28" s="30"/>
      <c r="V28" s="30"/>
    </row>
    <row r="29" spans="2:27" ht="14.45" customHeight="1">
      <c r="B29" s="10">
        <v>7</v>
      </c>
      <c r="C29" s="21" t="s">
        <v>44</v>
      </c>
      <c r="D29" s="121" t="s">
        <v>45</v>
      </c>
      <c r="E29" s="121"/>
      <c r="F29" s="121"/>
      <c r="G29" s="121"/>
      <c r="H29" s="18"/>
      <c r="I29" s="18" t="s">
        <v>36</v>
      </c>
      <c r="J29" s="113"/>
      <c r="K29" s="80"/>
      <c r="L29" s="80"/>
      <c r="M29" s="80"/>
      <c r="N29" s="81"/>
      <c r="P29" s="29"/>
      <c r="Q29" s="30"/>
      <c r="R29" s="30"/>
      <c r="S29" s="30"/>
      <c r="T29" s="30"/>
      <c r="U29" s="30"/>
      <c r="V29" s="30"/>
    </row>
    <row r="30" spans="2:27" ht="14.45" customHeight="1">
      <c r="B30" s="10">
        <v>8</v>
      </c>
      <c r="C30" s="21" t="s">
        <v>46</v>
      </c>
      <c r="D30" s="121" t="s">
        <v>47</v>
      </c>
      <c r="E30" s="121"/>
      <c r="F30" s="121"/>
      <c r="G30" s="121"/>
      <c r="H30" s="18"/>
      <c r="I30" s="18" t="s">
        <v>48</v>
      </c>
      <c r="J30" s="114" t="s">
        <v>49</v>
      </c>
      <c r="K30" s="55"/>
      <c r="L30" s="55"/>
      <c r="M30" s="55"/>
      <c r="N30" s="59"/>
      <c r="P30" s="29"/>
      <c r="Q30" s="30"/>
      <c r="R30" s="30"/>
      <c r="S30" s="30"/>
      <c r="T30" s="30"/>
      <c r="U30" s="30"/>
      <c r="V30" s="30"/>
    </row>
    <row r="31" spans="2:27" ht="14.45" customHeight="1">
      <c r="B31" s="10">
        <v>9</v>
      </c>
      <c r="C31" s="21" t="s">
        <v>50</v>
      </c>
      <c r="D31" s="121" t="s">
        <v>51</v>
      </c>
      <c r="E31" s="121"/>
      <c r="F31" s="121"/>
      <c r="G31" s="121"/>
      <c r="H31" s="18"/>
      <c r="I31" s="18" t="s">
        <v>48</v>
      </c>
      <c r="J31" s="114" t="s">
        <v>49</v>
      </c>
      <c r="K31" s="55"/>
      <c r="L31" s="55"/>
      <c r="M31" s="55"/>
      <c r="N31" s="59"/>
      <c r="P31" s="29"/>
      <c r="Q31" s="30"/>
      <c r="R31" s="30"/>
      <c r="S31" s="30"/>
      <c r="T31" s="30"/>
      <c r="U31" s="30"/>
      <c r="V31" s="30"/>
    </row>
    <row r="32" spans="2:27" ht="14.45" customHeight="1">
      <c r="B32" s="10">
        <v>10</v>
      </c>
      <c r="C32" s="21"/>
      <c r="D32" s="121" t="s">
        <v>52</v>
      </c>
      <c r="E32" s="121"/>
      <c r="F32" s="121"/>
      <c r="G32" s="121"/>
      <c r="H32" s="18">
        <v>3</v>
      </c>
      <c r="I32" s="18" t="s">
        <v>48</v>
      </c>
      <c r="J32" s="113"/>
      <c r="K32" s="80"/>
      <c r="L32" s="80"/>
      <c r="M32" s="80"/>
      <c r="N32" s="81"/>
      <c r="P32" s="29"/>
      <c r="Q32" s="30"/>
      <c r="R32" s="30"/>
      <c r="S32" s="30"/>
      <c r="T32" s="30"/>
      <c r="U32" s="30"/>
      <c r="V32" s="30"/>
    </row>
    <row r="33" spans="2:27" ht="14.45" customHeight="1">
      <c r="B33" s="10">
        <v>11</v>
      </c>
      <c r="C33" s="21" t="s">
        <v>53</v>
      </c>
      <c r="D33" s="121" t="s">
        <v>53</v>
      </c>
      <c r="E33" s="121"/>
      <c r="F33" s="121"/>
      <c r="G33" s="121"/>
      <c r="H33" s="18"/>
      <c r="I33" s="18" t="s">
        <v>48</v>
      </c>
      <c r="J33" s="113"/>
      <c r="K33" s="80"/>
      <c r="L33" s="80"/>
      <c r="M33" s="80"/>
      <c r="N33" s="81"/>
      <c r="P33" s="29"/>
      <c r="Q33" s="30"/>
      <c r="R33" s="30"/>
      <c r="S33" s="30"/>
      <c r="T33" s="30"/>
      <c r="U33" s="30"/>
      <c r="V33" s="30"/>
    </row>
    <row r="34" spans="2:27" ht="14.45" customHeight="1">
      <c r="B34" s="10">
        <v>12</v>
      </c>
      <c r="C34" s="21"/>
      <c r="D34" s="121" t="s">
        <v>54</v>
      </c>
      <c r="E34" s="121"/>
      <c r="F34" s="121"/>
      <c r="G34" s="121"/>
      <c r="H34" s="18">
        <v>1</v>
      </c>
      <c r="I34" s="18" t="s">
        <v>36</v>
      </c>
      <c r="J34" s="113"/>
      <c r="K34" s="80"/>
      <c r="L34" s="80"/>
      <c r="M34" s="80"/>
      <c r="N34" s="81"/>
      <c r="P34" s="29"/>
      <c r="Q34" s="30"/>
      <c r="R34" s="30"/>
      <c r="S34" s="30"/>
      <c r="T34" s="30"/>
      <c r="U34" s="30"/>
      <c r="V34" s="30"/>
    </row>
    <row r="35" spans="2:27">
      <c r="B35" s="10">
        <v>13</v>
      </c>
      <c r="C35" s="21"/>
      <c r="D35" s="121" t="s">
        <v>55</v>
      </c>
      <c r="E35" s="121"/>
      <c r="F35" s="121"/>
      <c r="G35" s="121"/>
      <c r="H35" s="18">
        <v>1</v>
      </c>
      <c r="I35" s="18" t="s">
        <v>36</v>
      </c>
      <c r="J35" s="113"/>
      <c r="K35" s="80"/>
      <c r="L35" s="80"/>
      <c r="M35" s="80"/>
      <c r="N35" s="81"/>
      <c r="P35" s="29"/>
      <c r="Q35" s="30"/>
      <c r="R35" s="30"/>
      <c r="S35" s="30"/>
      <c r="T35" s="30"/>
      <c r="U35" s="30"/>
      <c r="V35" s="30"/>
    </row>
    <row r="36" spans="2:27">
      <c r="B36" s="10">
        <v>14</v>
      </c>
      <c r="C36" s="21"/>
      <c r="D36" s="127"/>
      <c r="E36" s="127"/>
      <c r="F36" s="127"/>
      <c r="G36" s="127"/>
      <c r="H36" s="18"/>
      <c r="I36" s="18"/>
      <c r="J36" s="113"/>
      <c r="K36" s="80"/>
      <c r="L36" s="80"/>
      <c r="M36" s="80"/>
      <c r="N36" s="81"/>
      <c r="P36" s="29"/>
      <c r="Q36" s="30"/>
      <c r="R36" s="30"/>
      <c r="S36" s="30"/>
      <c r="T36" s="30"/>
      <c r="U36" s="30"/>
      <c r="V36" s="30"/>
    </row>
    <row r="37" spans="2:27">
      <c r="B37" s="10">
        <v>15</v>
      </c>
      <c r="C37" s="21"/>
      <c r="D37" s="127"/>
      <c r="E37" s="127"/>
      <c r="F37" s="127"/>
      <c r="G37" s="127"/>
      <c r="H37" s="18"/>
      <c r="I37" s="18"/>
      <c r="J37" s="113"/>
      <c r="K37" s="80"/>
      <c r="L37" s="80"/>
      <c r="M37" s="80"/>
      <c r="N37" s="81"/>
      <c r="P37" s="29"/>
      <c r="Q37" s="30"/>
      <c r="R37" s="30"/>
      <c r="S37" s="30"/>
      <c r="T37" s="30"/>
      <c r="U37" s="30"/>
      <c r="V37" s="30"/>
    </row>
    <row r="38" spans="2:27">
      <c r="B38" s="10">
        <v>16</v>
      </c>
      <c r="C38" s="21"/>
      <c r="D38" s="127"/>
      <c r="E38" s="127"/>
      <c r="F38" s="127"/>
      <c r="G38" s="127"/>
      <c r="H38" s="18"/>
      <c r="I38" s="18"/>
      <c r="J38" s="113"/>
      <c r="K38" s="80"/>
      <c r="L38" s="80"/>
      <c r="M38" s="80"/>
      <c r="N38" s="81"/>
      <c r="P38" s="29"/>
      <c r="Q38" s="30"/>
      <c r="R38" s="30"/>
      <c r="S38" s="30"/>
      <c r="T38" s="30"/>
      <c r="U38" s="30"/>
      <c r="V38" s="30"/>
    </row>
    <row r="39" spans="2:27">
      <c r="B39" s="10">
        <v>17</v>
      </c>
      <c r="C39" s="21"/>
      <c r="D39" s="127"/>
      <c r="E39" s="127"/>
      <c r="F39" s="127"/>
      <c r="G39" s="127"/>
      <c r="H39" s="18"/>
      <c r="I39" s="18"/>
      <c r="J39" s="113"/>
      <c r="K39" s="80"/>
      <c r="L39" s="80"/>
      <c r="M39" s="80"/>
      <c r="N39" s="81"/>
      <c r="P39" s="29"/>
      <c r="Q39" s="30"/>
      <c r="R39" s="30"/>
      <c r="S39" s="30"/>
      <c r="T39" s="30"/>
      <c r="U39" s="30"/>
      <c r="V39" s="30"/>
    </row>
    <row r="40" spans="2:27">
      <c r="B40" s="10">
        <v>18</v>
      </c>
      <c r="C40" s="21"/>
      <c r="D40" s="127"/>
      <c r="E40" s="127"/>
      <c r="F40" s="127"/>
      <c r="G40" s="127"/>
      <c r="H40" s="18"/>
      <c r="I40" s="18"/>
      <c r="J40" s="113"/>
      <c r="K40" s="80"/>
      <c r="L40" s="80"/>
      <c r="M40" s="80"/>
      <c r="N40" s="81"/>
      <c r="P40" s="29"/>
      <c r="Q40" s="30"/>
      <c r="R40" s="30"/>
      <c r="S40" s="30"/>
      <c r="T40" s="30"/>
      <c r="U40" s="30"/>
      <c r="V40" s="30"/>
    </row>
    <row r="41" spans="2:27">
      <c r="P41" s="29"/>
      <c r="Q41" s="30"/>
      <c r="R41" s="30"/>
      <c r="S41" s="30"/>
      <c r="T41" s="30"/>
      <c r="U41" s="30"/>
      <c r="V41" s="30"/>
    </row>
    <row r="42" spans="2:27" s="13" customFormat="1" ht="23.45" customHeight="1">
      <c r="B42" s="68" t="s">
        <v>56</v>
      </c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P42" s="31"/>
      <c r="Q42" s="30"/>
      <c r="R42" s="30"/>
      <c r="S42" s="30"/>
      <c r="T42" s="30"/>
      <c r="U42" s="32"/>
      <c r="V42" s="32"/>
      <c r="W42" s="24"/>
      <c r="X42" s="24"/>
      <c r="Y42" s="24"/>
      <c r="Z42" s="24"/>
      <c r="AA42" s="24"/>
    </row>
    <row r="43" spans="2:27">
      <c r="B43" s="128" t="s">
        <v>57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2"/>
      <c r="P43" s="29" t="s">
        <v>58</v>
      </c>
      <c r="Q43" s="30"/>
      <c r="R43" s="30"/>
      <c r="S43" s="30"/>
      <c r="T43" s="30"/>
      <c r="U43" s="30"/>
      <c r="V43" s="30"/>
    </row>
    <row r="44" spans="2:27">
      <c r="B44" s="73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/>
      <c r="P44" s="29" t="s">
        <v>59</v>
      </c>
      <c r="Q44" s="30"/>
      <c r="R44" s="30"/>
      <c r="S44" s="30"/>
      <c r="T44" s="30"/>
      <c r="U44" s="30"/>
      <c r="V44" s="30"/>
    </row>
    <row r="45" spans="2:27">
      <c r="B45" s="73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/>
      <c r="P45" s="29"/>
      <c r="Q45" s="30"/>
      <c r="R45" s="30"/>
      <c r="S45" s="30"/>
      <c r="T45" s="30"/>
      <c r="U45" s="30"/>
      <c r="V45" s="30"/>
    </row>
    <row r="46" spans="2:27">
      <c r="B46" s="73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/>
      <c r="P46" s="35" t="s">
        <v>60</v>
      </c>
      <c r="Q46" s="30"/>
      <c r="R46" s="30"/>
      <c r="S46" s="30"/>
      <c r="T46" s="30"/>
      <c r="U46" s="30"/>
      <c r="V46" s="30"/>
    </row>
    <row r="47" spans="2:27">
      <c r="B47" s="73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/>
      <c r="P47" s="35" t="s">
        <v>61</v>
      </c>
      <c r="Q47" s="30"/>
      <c r="R47" s="30"/>
      <c r="S47" s="30"/>
      <c r="T47" s="30"/>
      <c r="U47" s="30"/>
      <c r="V47" s="30"/>
    </row>
    <row r="48" spans="2:27">
      <c r="B48" s="73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/>
      <c r="P48" s="35"/>
      <c r="Q48" s="30"/>
      <c r="R48" s="30"/>
      <c r="S48" s="30"/>
      <c r="T48" s="30"/>
      <c r="U48" s="30"/>
      <c r="V48" s="30"/>
    </row>
    <row r="49" spans="2:25">
      <c r="B49" s="73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5"/>
      <c r="P49" s="29" t="s">
        <v>62</v>
      </c>
      <c r="Q49" s="30"/>
      <c r="R49" s="30"/>
      <c r="S49" s="30"/>
      <c r="T49" s="30"/>
      <c r="U49" s="30"/>
      <c r="V49" s="30"/>
    </row>
    <row r="50" spans="2:25">
      <c r="B50" s="73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  <c r="P50" s="29"/>
      <c r="Q50" s="30"/>
      <c r="R50" s="30"/>
      <c r="S50" s="30"/>
      <c r="T50" s="30"/>
      <c r="U50" s="30"/>
      <c r="V50" s="30"/>
    </row>
    <row r="51" spans="2:25">
      <c r="B51" s="73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5"/>
      <c r="P51" s="29" t="s">
        <v>63</v>
      </c>
      <c r="Q51" s="30"/>
      <c r="R51" s="30"/>
      <c r="S51" s="30"/>
      <c r="T51" s="30"/>
      <c r="U51" s="30"/>
      <c r="V51" s="30"/>
    </row>
    <row r="52" spans="2:25">
      <c r="B52" s="73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  <c r="P52" s="29"/>
      <c r="Q52" s="30"/>
      <c r="R52" s="30"/>
      <c r="S52" s="30"/>
      <c r="T52" s="30"/>
      <c r="U52" s="30"/>
      <c r="V52" s="30"/>
    </row>
    <row r="53" spans="2:25">
      <c r="B53" s="73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5"/>
    </row>
    <row r="54" spans="2:25"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5"/>
    </row>
    <row r="55" spans="2:25">
      <c r="B55" s="73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</row>
    <row r="56" spans="2:25">
      <c r="B56" s="73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5"/>
      <c r="R56" s="25"/>
      <c r="S56" s="25"/>
      <c r="T56" s="25"/>
      <c r="U56" s="25"/>
      <c r="V56" s="25"/>
      <c r="W56" s="25"/>
      <c r="X56" s="25"/>
      <c r="Y56" s="25"/>
    </row>
    <row r="57" spans="2:25">
      <c r="B57" s="73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5"/>
      <c r="R57" s="25"/>
      <c r="S57" s="25"/>
      <c r="T57" s="25"/>
      <c r="U57" s="25"/>
      <c r="V57" s="25"/>
      <c r="W57" s="25"/>
      <c r="X57" s="25"/>
      <c r="Y57" s="25"/>
    </row>
    <row r="58" spans="2:25">
      <c r="B58" s="73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5"/>
      <c r="R58" s="25"/>
      <c r="S58" s="25"/>
      <c r="T58" s="25"/>
      <c r="U58" s="25"/>
      <c r="V58" s="25"/>
      <c r="W58" s="25"/>
      <c r="X58" s="25"/>
      <c r="Y58" s="25"/>
    </row>
    <row r="59" spans="2:25" ht="16.5">
      <c r="B59" s="73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5"/>
      <c r="R59" s="25"/>
      <c r="S59" s="27" t="s">
        <v>64</v>
      </c>
      <c r="T59" s="28" t="s">
        <v>65</v>
      </c>
      <c r="U59" s="28" t="s">
        <v>66</v>
      </c>
      <c r="V59" s="28" t="s">
        <v>67</v>
      </c>
      <c r="W59" s="25"/>
      <c r="X59" s="25"/>
      <c r="Y59" s="25"/>
    </row>
    <row r="60" spans="2:25">
      <c r="B60" s="73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5"/>
      <c r="R60" s="25"/>
      <c r="S60" s="82"/>
      <c r="T60" s="83"/>
      <c r="U60" s="84"/>
      <c r="V60" s="84"/>
      <c r="W60" s="25"/>
      <c r="X60" s="25"/>
      <c r="Y60" s="25"/>
    </row>
    <row r="61" spans="2:25">
      <c r="B61" s="73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5"/>
      <c r="R61" s="25"/>
      <c r="S61" s="82"/>
      <c r="T61" s="83"/>
      <c r="U61" s="84"/>
      <c r="V61" s="84"/>
      <c r="W61" s="25"/>
      <c r="X61" s="25"/>
      <c r="Y61" s="25"/>
    </row>
    <row r="62" spans="2:25">
      <c r="B62" s="73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5"/>
      <c r="R62" s="25"/>
      <c r="S62" s="82"/>
      <c r="T62" s="83"/>
      <c r="U62" s="84"/>
      <c r="V62" s="84"/>
      <c r="W62" s="25"/>
      <c r="X62" s="25"/>
      <c r="Y62" s="25"/>
    </row>
    <row r="63" spans="2:25">
      <c r="B63" s="73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5"/>
      <c r="R63" s="25"/>
      <c r="S63" s="25"/>
      <c r="T63" s="25"/>
      <c r="U63" s="26"/>
      <c r="V63" s="26"/>
      <c r="W63" s="25"/>
      <c r="X63" s="25"/>
      <c r="Y63" s="25"/>
    </row>
    <row r="64" spans="2:25">
      <c r="B64" s="7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8"/>
      <c r="R64" s="25"/>
      <c r="S64" s="25"/>
      <c r="T64" s="25"/>
      <c r="U64" s="25"/>
      <c r="V64" s="25"/>
      <c r="W64" s="25"/>
      <c r="X64" s="25"/>
      <c r="Y64" s="25"/>
    </row>
    <row r="65" spans="18:25">
      <c r="R65" s="25"/>
      <c r="S65" s="25"/>
      <c r="T65" s="25"/>
      <c r="U65" s="25"/>
      <c r="V65" s="25"/>
      <c r="W65" s="25"/>
      <c r="X65" s="25"/>
      <c r="Y65" s="25"/>
    </row>
    <row r="66" spans="18:25">
      <c r="R66" s="25"/>
      <c r="S66" s="25"/>
      <c r="T66" s="25"/>
      <c r="U66" s="25"/>
      <c r="V66" s="25"/>
      <c r="W66" s="25"/>
      <c r="X66" s="25"/>
      <c r="Y66" s="25"/>
    </row>
    <row r="67" spans="18:25">
      <c r="R67" s="25"/>
      <c r="S67" s="25"/>
      <c r="T67" s="25"/>
      <c r="U67" s="25"/>
      <c r="V67" s="25"/>
      <c r="W67" s="25"/>
      <c r="X67" s="25"/>
      <c r="Y67" s="25"/>
    </row>
    <row r="68" spans="18:25">
      <c r="R68" s="25"/>
      <c r="S68" s="25"/>
      <c r="T68" s="25"/>
      <c r="U68" s="25"/>
      <c r="V68" s="25"/>
      <c r="W68" s="25"/>
      <c r="X68" s="25"/>
      <c r="Y68" s="25"/>
    </row>
    <row r="69" spans="18:25">
      <c r="R69" s="25"/>
      <c r="S69" s="25"/>
      <c r="T69" s="25"/>
      <c r="U69" s="25"/>
      <c r="V69" s="25"/>
      <c r="W69" s="25"/>
      <c r="X69" s="25"/>
      <c r="Y69" s="25"/>
    </row>
    <row r="70" spans="18:25">
      <c r="R70" s="25"/>
      <c r="S70" s="25"/>
      <c r="T70" s="25"/>
      <c r="U70" s="25"/>
      <c r="V70" s="25"/>
      <c r="W70" s="25"/>
      <c r="X70" s="25"/>
      <c r="Y70" s="25"/>
    </row>
  </sheetData>
  <mergeCells count="64">
    <mergeCell ref="D38:G38"/>
    <mergeCell ref="B43:N64"/>
    <mergeCell ref="D35:G35"/>
    <mergeCell ref="D39:G39"/>
    <mergeCell ref="D40:G40"/>
    <mergeCell ref="J35:N35"/>
    <mergeCell ref="J36:N36"/>
    <mergeCell ref="J37:N37"/>
    <mergeCell ref="J38:N38"/>
    <mergeCell ref="J39:N39"/>
    <mergeCell ref="J40:N40"/>
    <mergeCell ref="D27:G27"/>
    <mergeCell ref="B21:N21"/>
    <mergeCell ref="D36:G36"/>
    <mergeCell ref="D37:G37"/>
    <mergeCell ref="D34:G34"/>
    <mergeCell ref="D28:G28"/>
    <mergeCell ref="D29:G29"/>
    <mergeCell ref="D30:G30"/>
    <mergeCell ref="J31:N31"/>
    <mergeCell ref="J32:N32"/>
    <mergeCell ref="J33:N33"/>
    <mergeCell ref="J34:N34"/>
    <mergeCell ref="D32:G32"/>
    <mergeCell ref="D33:G33"/>
    <mergeCell ref="J26:N26"/>
    <mergeCell ref="J27:N27"/>
    <mergeCell ref="U60:U62"/>
    <mergeCell ref="E9:G9"/>
    <mergeCell ref="E10:G10"/>
    <mergeCell ref="E11:G11"/>
    <mergeCell ref="E12:G12"/>
    <mergeCell ref="E13:G13"/>
    <mergeCell ref="D22:G22"/>
    <mergeCell ref="D23:G23"/>
    <mergeCell ref="D24:G24"/>
    <mergeCell ref="D25:G25"/>
    <mergeCell ref="B42:N42"/>
    <mergeCell ref="S60:S62"/>
    <mergeCell ref="T60:T62"/>
    <mergeCell ref="G17:N17"/>
    <mergeCell ref="G18:N18"/>
    <mergeCell ref="D31:G31"/>
    <mergeCell ref="B5:N7"/>
    <mergeCell ref="B9:C9"/>
    <mergeCell ref="B10:C10"/>
    <mergeCell ref="B11:C11"/>
    <mergeCell ref="B12:C12"/>
    <mergeCell ref="V60:V62"/>
    <mergeCell ref="J28:N28"/>
    <mergeCell ref="J29:N29"/>
    <mergeCell ref="J30:N30"/>
    <mergeCell ref="B13:C13"/>
    <mergeCell ref="J22:N22"/>
    <mergeCell ref="J23:N23"/>
    <mergeCell ref="J24:N24"/>
    <mergeCell ref="J25:N25"/>
    <mergeCell ref="B16:N16"/>
    <mergeCell ref="B17:C17"/>
    <mergeCell ref="D17:E17"/>
    <mergeCell ref="D18:E18"/>
    <mergeCell ref="D19:E19"/>
    <mergeCell ref="G19:N19"/>
    <mergeCell ref="D26:G26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EA4B-3A0E-4B54-9A2B-342C185F9755}">
  <sheetPr>
    <pageSetUpPr fitToPage="1"/>
  </sheetPr>
  <dimension ref="B5:AA70"/>
  <sheetViews>
    <sheetView showGridLines="0" view="pageBreakPreview" topLeftCell="A9" zoomScaleNormal="85" zoomScaleSheetLayoutView="100" workbookViewId="0">
      <selection activeCell="J24" sqref="J24:N24"/>
    </sheetView>
  </sheetViews>
  <sheetFormatPr defaultColWidth="9" defaultRowHeight="15"/>
  <cols>
    <col min="1" max="1" width="5.375" style="1" customWidth="1"/>
    <col min="2" max="2" width="4.375" style="1" customWidth="1"/>
    <col min="3" max="3" width="12.125" style="1" customWidth="1"/>
    <col min="4" max="4" width="2.125" style="1" customWidth="1"/>
    <col min="5" max="5" width="8.375" style="1" customWidth="1"/>
    <col min="6" max="6" width="10.625" style="1" customWidth="1"/>
    <col min="7" max="7" width="20.125" style="1" customWidth="1"/>
    <col min="8" max="8" width="8.125" style="1" customWidth="1"/>
    <col min="9" max="9" width="11.375" style="1" customWidth="1"/>
    <col min="10" max="10" width="2.125" style="1" customWidth="1"/>
    <col min="11" max="11" width="15.875" style="1" customWidth="1"/>
    <col min="12" max="14" width="10.625" style="1" customWidth="1"/>
    <col min="15" max="15" width="9" style="1"/>
    <col min="16" max="16" width="9" style="22"/>
    <col min="17" max="17" width="9" style="23"/>
    <col min="18" max="18" width="9" style="23" customWidth="1"/>
    <col min="19" max="22" width="10.125" style="23" customWidth="1"/>
    <col min="23" max="27" width="9" style="23"/>
    <col min="28" max="16384" width="9" style="1"/>
  </cols>
  <sheetData>
    <row r="5" spans="2:27" ht="17.100000000000001" customHeight="1">
      <c r="B5" s="110" t="s">
        <v>0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2:27"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</row>
    <row r="7" spans="2:27"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P7" s="29"/>
      <c r="Q7" s="30"/>
      <c r="R7" s="30"/>
      <c r="S7" s="30"/>
      <c r="T7" s="30"/>
      <c r="U7" s="30"/>
      <c r="V7" s="30"/>
    </row>
    <row r="8" spans="2:27">
      <c r="P8" s="29"/>
      <c r="Q8" s="30"/>
      <c r="R8" s="30"/>
      <c r="S8" s="30"/>
      <c r="T8" s="30"/>
      <c r="U8" s="30"/>
      <c r="V8" s="30"/>
    </row>
    <row r="9" spans="2:27" ht="16.5">
      <c r="B9" s="101" t="s">
        <v>2</v>
      </c>
      <c r="C9" s="101"/>
      <c r="D9" s="2" t="s">
        <v>3</v>
      </c>
      <c r="E9" s="102">
        <f ca="1">TODAY()</f>
        <v>46280</v>
      </c>
      <c r="F9" s="102"/>
      <c r="G9" s="102"/>
      <c r="H9" s="3"/>
      <c r="I9" s="4" t="s">
        <v>4</v>
      </c>
      <c r="J9" s="2" t="s">
        <v>3</v>
      </c>
      <c r="K9" s="11" t="s">
        <v>5</v>
      </c>
      <c r="N9" s="2"/>
      <c r="P9" s="29"/>
      <c r="Q9" s="30"/>
      <c r="R9" s="30"/>
      <c r="S9" s="30"/>
      <c r="T9" s="30"/>
      <c r="U9" s="30"/>
      <c r="V9" s="30"/>
    </row>
    <row r="10" spans="2:27" ht="16.5">
      <c r="B10" s="101" t="s">
        <v>6</v>
      </c>
      <c r="C10" s="101"/>
      <c r="D10" s="2" t="s">
        <v>3</v>
      </c>
      <c r="E10" s="102"/>
      <c r="F10" s="102"/>
      <c r="G10" s="102"/>
      <c r="H10" s="3"/>
      <c r="I10" s="4" t="s">
        <v>7</v>
      </c>
      <c r="J10" s="2" t="s">
        <v>3</v>
      </c>
      <c r="K10" s="5">
        <v>100</v>
      </c>
      <c r="N10" s="2"/>
      <c r="P10" s="29"/>
      <c r="Q10" s="30"/>
      <c r="R10" s="30"/>
      <c r="S10" s="30"/>
      <c r="T10" s="30"/>
      <c r="U10" s="30"/>
      <c r="V10" s="30"/>
    </row>
    <row r="11" spans="2:27" ht="16.5">
      <c r="B11" s="101" t="s">
        <v>8</v>
      </c>
      <c r="C11" s="101"/>
      <c r="D11" s="2" t="s">
        <v>3</v>
      </c>
      <c r="E11" s="102"/>
      <c r="F11" s="102"/>
      <c r="G11" s="102"/>
      <c r="H11" s="3"/>
      <c r="I11" s="4" t="s">
        <v>9</v>
      </c>
      <c r="J11" s="2" t="s">
        <v>3</v>
      </c>
      <c r="K11" s="5">
        <v>20</v>
      </c>
      <c r="N11" s="2"/>
      <c r="P11" s="29"/>
      <c r="Q11" s="30"/>
      <c r="R11" s="30"/>
      <c r="S11" s="30"/>
      <c r="T11" s="30"/>
      <c r="U11" s="30"/>
      <c r="V11" s="30"/>
    </row>
    <row r="12" spans="2:27" ht="16.5">
      <c r="B12" s="101" t="s">
        <v>10</v>
      </c>
      <c r="C12" s="101"/>
      <c r="D12" s="2" t="s">
        <v>3</v>
      </c>
      <c r="E12" s="102" t="s">
        <v>11</v>
      </c>
      <c r="F12" s="102"/>
      <c r="G12" s="102"/>
      <c r="H12" s="3"/>
      <c r="I12" s="4" t="s">
        <v>12</v>
      </c>
      <c r="J12" s="2" t="s">
        <v>3</v>
      </c>
      <c r="K12" s="5">
        <v>70</v>
      </c>
      <c r="N12" s="2"/>
      <c r="P12" s="29"/>
      <c r="Q12" s="30"/>
      <c r="R12" s="30"/>
      <c r="S12" s="30"/>
      <c r="T12" s="30"/>
      <c r="U12" s="30"/>
      <c r="V12" s="30"/>
    </row>
    <row r="13" spans="2:27" ht="16.5">
      <c r="B13" s="101" t="s">
        <v>13</v>
      </c>
      <c r="C13" s="101"/>
      <c r="D13" s="2" t="s">
        <v>3</v>
      </c>
      <c r="E13" s="102" t="s">
        <v>14</v>
      </c>
      <c r="F13" s="102"/>
      <c r="G13" s="102"/>
      <c r="H13" s="3"/>
      <c r="I13" s="4" t="s">
        <v>15</v>
      </c>
      <c r="J13" s="2" t="s">
        <v>3</v>
      </c>
      <c r="K13" s="6" t="str">
        <f>(K10-K11-K12)&amp;" Pcs"&amp;" ("&amp;TEXT((K10-K11-K12)/K12,"0%")&amp;")"</f>
        <v>10 Pcs (14%)</v>
      </c>
      <c r="L13" s="7"/>
      <c r="M13" s="7"/>
      <c r="N13" s="7"/>
      <c r="P13" s="29"/>
      <c r="Q13" s="30"/>
      <c r="R13" s="30"/>
      <c r="S13" s="30"/>
      <c r="T13" s="30"/>
      <c r="U13" s="30"/>
      <c r="V13" s="30"/>
    </row>
    <row r="14" spans="2:27" ht="16.5">
      <c r="B14" s="14"/>
      <c r="C14" s="14"/>
      <c r="D14" s="2"/>
      <c r="E14" s="15"/>
      <c r="F14" s="15"/>
      <c r="G14" s="15"/>
      <c r="H14" s="3"/>
      <c r="I14" s="16"/>
      <c r="J14" s="2"/>
      <c r="K14" s="17"/>
      <c r="L14" s="7"/>
      <c r="M14" s="7"/>
      <c r="N14" s="7"/>
      <c r="P14" s="29"/>
      <c r="Q14" s="30"/>
      <c r="R14" s="30"/>
      <c r="S14" s="30"/>
      <c r="T14" s="30"/>
      <c r="U14" s="30"/>
      <c r="V14" s="30"/>
    </row>
    <row r="15" spans="2:27">
      <c r="P15" s="29"/>
      <c r="Q15" s="30"/>
      <c r="R15" s="30"/>
      <c r="S15" s="30"/>
      <c r="T15" s="30"/>
      <c r="U15" s="30"/>
      <c r="V15" s="30"/>
    </row>
    <row r="16" spans="2:27" s="13" customFormat="1" ht="23.45" customHeight="1">
      <c r="B16" s="68" t="s">
        <v>17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P16" s="31"/>
      <c r="Q16" s="32"/>
      <c r="R16" s="32"/>
      <c r="S16" s="32"/>
      <c r="T16" s="32"/>
      <c r="U16" s="32"/>
      <c r="V16" s="32"/>
      <c r="W16" s="24"/>
      <c r="X16" s="24"/>
      <c r="Y16" s="24"/>
      <c r="Z16" s="24"/>
      <c r="AA16" s="24"/>
    </row>
    <row r="17" spans="2:27" ht="16.5">
      <c r="B17" s="118" t="s">
        <v>18</v>
      </c>
      <c r="C17" s="118"/>
      <c r="D17" s="118" t="s">
        <v>19</v>
      </c>
      <c r="E17" s="118"/>
      <c r="F17" s="8" t="s">
        <v>20</v>
      </c>
      <c r="G17" s="124" t="s">
        <v>21</v>
      </c>
      <c r="H17" s="125"/>
      <c r="I17" s="125"/>
      <c r="J17" s="125"/>
      <c r="K17" s="125"/>
      <c r="L17" s="125"/>
      <c r="M17" s="125"/>
      <c r="N17" s="126"/>
      <c r="P17" s="29"/>
      <c r="Q17" s="30"/>
      <c r="R17" s="33"/>
      <c r="S17" s="30"/>
      <c r="T17" s="30"/>
      <c r="U17" s="30"/>
      <c r="V17" s="30"/>
    </row>
    <row r="18" spans="2:27" ht="14.45" customHeight="1">
      <c r="B18" s="20" t="s">
        <v>22</v>
      </c>
      <c r="C18" s="20" t="s">
        <v>23</v>
      </c>
      <c r="D18" s="85">
        <v>3</v>
      </c>
      <c r="E18" s="87"/>
      <c r="F18" s="12">
        <v>45</v>
      </c>
      <c r="G18" s="119"/>
      <c r="H18" s="120"/>
      <c r="I18" s="120"/>
      <c r="J18" s="120"/>
      <c r="K18" s="120"/>
      <c r="L18" s="120"/>
      <c r="M18" s="120"/>
      <c r="N18" s="120"/>
      <c r="P18" s="29"/>
      <c r="Q18" s="30"/>
      <c r="R18" s="33"/>
      <c r="S18" s="30"/>
      <c r="T18" s="30"/>
      <c r="U18" s="30"/>
      <c r="V18" s="30"/>
    </row>
    <row r="19" spans="2:27" ht="14.45" customHeight="1">
      <c r="B19" s="20" t="s">
        <v>25</v>
      </c>
      <c r="C19" s="20" t="s">
        <v>23</v>
      </c>
      <c r="D19" s="85">
        <v>5</v>
      </c>
      <c r="E19" s="87"/>
      <c r="F19" s="12">
        <v>35</v>
      </c>
      <c r="G19" s="119" t="s">
        <v>26</v>
      </c>
      <c r="H19" s="120"/>
      <c r="I19" s="120"/>
      <c r="J19" s="120"/>
      <c r="K19" s="120"/>
      <c r="L19" s="120"/>
      <c r="M19" s="120"/>
      <c r="N19" s="120"/>
      <c r="P19" s="29"/>
      <c r="Q19" s="30"/>
      <c r="R19" s="33"/>
      <c r="S19" s="30"/>
      <c r="T19" s="30"/>
      <c r="U19" s="30"/>
      <c r="V19" s="30"/>
    </row>
    <row r="20" spans="2:27">
      <c r="P20" s="29"/>
      <c r="Q20" s="30"/>
      <c r="R20" s="33"/>
      <c r="S20" s="30"/>
      <c r="T20" s="30"/>
      <c r="U20" s="30"/>
      <c r="V20" s="30"/>
    </row>
    <row r="21" spans="2:27" s="13" customFormat="1" ht="23.45" customHeight="1">
      <c r="B21" s="68" t="s">
        <v>28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P21" s="31"/>
      <c r="Q21" s="32"/>
      <c r="R21" s="34"/>
      <c r="S21" s="32"/>
      <c r="T21" s="32"/>
      <c r="U21" s="32"/>
      <c r="V21" s="32"/>
      <c r="W21" s="24"/>
      <c r="X21" s="24"/>
      <c r="Y21" s="24"/>
      <c r="Z21" s="24"/>
      <c r="AA21" s="24"/>
    </row>
    <row r="22" spans="2:27" ht="17.100000000000001" customHeight="1">
      <c r="B22" s="9" t="s">
        <v>29</v>
      </c>
      <c r="C22" s="9" t="s">
        <v>30</v>
      </c>
      <c r="D22" s="115" t="s">
        <v>31</v>
      </c>
      <c r="E22" s="116"/>
      <c r="F22" s="116"/>
      <c r="G22" s="117"/>
      <c r="H22" s="9" t="s">
        <v>19</v>
      </c>
      <c r="I22" s="19" t="s">
        <v>32</v>
      </c>
      <c r="J22" s="115" t="s">
        <v>33</v>
      </c>
      <c r="K22" s="116"/>
      <c r="L22" s="116"/>
      <c r="M22" s="116"/>
      <c r="N22" s="117"/>
      <c r="P22" s="29"/>
      <c r="Q22" s="30"/>
      <c r="R22" s="33"/>
      <c r="S22" s="30"/>
      <c r="T22" s="30"/>
      <c r="U22" s="30"/>
      <c r="V22" s="30"/>
    </row>
    <row r="23" spans="2:27">
      <c r="B23" s="10">
        <v>1</v>
      </c>
      <c r="C23" s="21" t="s">
        <v>34</v>
      </c>
      <c r="D23" s="121" t="s">
        <v>35</v>
      </c>
      <c r="E23" s="121"/>
      <c r="F23" s="121"/>
      <c r="G23" s="121"/>
      <c r="H23" s="18">
        <v>1</v>
      </c>
      <c r="I23" s="18" t="s">
        <v>36</v>
      </c>
      <c r="J23" s="113"/>
      <c r="K23" s="80"/>
      <c r="L23" s="80"/>
      <c r="M23" s="80"/>
      <c r="N23" s="81"/>
      <c r="P23" s="29"/>
      <c r="Q23" s="30"/>
      <c r="R23" s="30"/>
      <c r="S23" s="30"/>
      <c r="T23" s="30"/>
      <c r="U23" s="30"/>
      <c r="V23" s="30"/>
    </row>
    <row r="24" spans="2:27" ht="14.45" customHeight="1">
      <c r="B24" s="10">
        <v>2</v>
      </c>
      <c r="C24" s="21"/>
      <c r="D24" s="121" t="s">
        <v>38</v>
      </c>
      <c r="E24" s="121"/>
      <c r="F24" s="121"/>
      <c r="G24" s="121"/>
      <c r="H24" s="18"/>
      <c r="I24" s="18" t="s">
        <v>36</v>
      </c>
      <c r="J24" s="113"/>
      <c r="K24" s="80"/>
      <c r="L24" s="80"/>
      <c r="M24" s="80"/>
      <c r="N24" s="81"/>
      <c r="P24" s="29"/>
      <c r="Q24" s="30"/>
      <c r="R24" s="29"/>
      <c r="S24" s="30"/>
      <c r="T24" s="30"/>
      <c r="U24" s="30"/>
      <c r="V24" s="30"/>
    </row>
    <row r="25" spans="2:27" ht="14.45" customHeight="1">
      <c r="B25" s="10">
        <v>3</v>
      </c>
      <c r="C25" s="21"/>
      <c r="D25" s="121" t="s">
        <v>40</v>
      </c>
      <c r="E25" s="121"/>
      <c r="F25" s="121"/>
      <c r="G25" s="121"/>
      <c r="H25" s="18"/>
      <c r="I25" s="18" t="s">
        <v>36</v>
      </c>
      <c r="J25" s="113"/>
      <c r="K25" s="80"/>
      <c r="L25" s="80"/>
      <c r="M25" s="80"/>
      <c r="N25" s="81"/>
      <c r="P25" s="29"/>
      <c r="Q25" s="30"/>
      <c r="R25" s="30"/>
      <c r="S25" s="30"/>
      <c r="T25" s="30"/>
      <c r="U25" s="30"/>
      <c r="V25" s="30"/>
    </row>
    <row r="26" spans="2:27" ht="14.45" customHeight="1">
      <c r="B26" s="10">
        <v>4</v>
      </c>
      <c r="C26" s="21"/>
      <c r="D26" s="121" t="s">
        <v>41</v>
      </c>
      <c r="E26" s="121"/>
      <c r="F26" s="121"/>
      <c r="G26" s="121"/>
      <c r="H26" s="18">
        <v>2</v>
      </c>
      <c r="I26" s="18" t="s">
        <v>36</v>
      </c>
      <c r="J26" s="113"/>
      <c r="K26" s="80"/>
      <c r="L26" s="80"/>
      <c r="M26" s="80"/>
      <c r="N26" s="81"/>
      <c r="P26" s="29"/>
      <c r="Q26" s="30"/>
      <c r="R26" s="30"/>
      <c r="S26" s="30"/>
      <c r="T26" s="30"/>
      <c r="U26" s="30"/>
      <c r="V26" s="30"/>
    </row>
    <row r="27" spans="2:27" ht="14.45" customHeight="1">
      <c r="B27" s="10">
        <v>5</v>
      </c>
      <c r="C27" s="21"/>
      <c r="D27" s="121" t="s">
        <v>42</v>
      </c>
      <c r="E27" s="121"/>
      <c r="F27" s="121"/>
      <c r="G27" s="121"/>
      <c r="H27" s="18"/>
      <c r="I27" s="18" t="s">
        <v>36</v>
      </c>
      <c r="J27" s="113"/>
      <c r="K27" s="80"/>
      <c r="L27" s="80"/>
      <c r="M27" s="80"/>
      <c r="N27" s="81"/>
      <c r="P27" s="29"/>
      <c r="Q27" s="30"/>
      <c r="R27" s="30"/>
      <c r="S27" s="30"/>
      <c r="T27" s="30"/>
      <c r="U27" s="30"/>
      <c r="V27" s="30"/>
    </row>
    <row r="28" spans="2:27" ht="14.45" customHeight="1">
      <c r="B28" s="10">
        <v>6</v>
      </c>
      <c r="C28" s="21"/>
      <c r="D28" s="121" t="s">
        <v>43</v>
      </c>
      <c r="E28" s="121"/>
      <c r="F28" s="121"/>
      <c r="G28" s="121"/>
      <c r="H28" s="18"/>
      <c r="I28" s="18" t="s">
        <v>36</v>
      </c>
      <c r="J28" s="113"/>
      <c r="K28" s="80"/>
      <c r="L28" s="80"/>
      <c r="M28" s="80"/>
      <c r="N28" s="81"/>
      <c r="P28" s="29"/>
      <c r="Q28" s="30"/>
      <c r="R28" s="30"/>
      <c r="S28" s="30"/>
      <c r="T28" s="30"/>
      <c r="U28" s="30"/>
      <c r="V28" s="30"/>
    </row>
    <row r="29" spans="2:27" ht="14.45" customHeight="1">
      <c r="B29" s="10">
        <v>7</v>
      </c>
      <c r="C29" s="21" t="s">
        <v>44</v>
      </c>
      <c r="D29" s="121" t="s">
        <v>45</v>
      </c>
      <c r="E29" s="121"/>
      <c r="F29" s="121"/>
      <c r="G29" s="121"/>
      <c r="H29" s="18"/>
      <c r="I29" s="18" t="s">
        <v>36</v>
      </c>
      <c r="J29" s="113"/>
      <c r="K29" s="80"/>
      <c r="L29" s="80"/>
      <c r="M29" s="80"/>
      <c r="N29" s="81"/>
      <c r="P29" s="29"/>
      <c r="Q29" s="30"/>
      <c r="R29" s="30"/>
      <c r="S29" s="30"/>
      <c r="T29" s="30"/>
      <c r="U29" s="30"/>
      <c r="V29" s="30"/>
    </row>
    <row r="30" spans="2:27" ht="14.45" customHeight="1">
      <c r="B30" s="10">
        <v>8</v>
      </c>
      <c r="C30" s="21" t="s">
        <v>46</v>
      </c>
      <c r="D30" s="121" t="s">
        <v>47</v>
      </c>
      <c r="E30" s="121"/>
      <c r="F30" s="121"/>
      <c r="G30" s="121"/>
      <c r="H30" s="18"/>
      <c r="I30" s="18" t="s">
        <v>48</v>
      </c>
      <c r="J30" s="114" t="s">
        <v>49</v>
      </c>
      <c r="K30" s="55"/>
      <c r="L30" s="55"/>
      <c r="M30" s="55"/>
      <c r="N30" s="59"/>
      <c r="P30" s="29"/>
      <c r="Q30" s="30"/>
      <c r="R30" s="30"/>
      <c r="S30" s="30"/>
      <c r="T30" s="30"/>
      <c r="U30" s="30"/>
      <c r="V30" s="30"/>
    </row>
    <row r="31" spans="2:27" ht="14.45" customHeight="1">
      <c r="B31" s="10">
        <v>9</v>
      </c>
      <c r="C31" s="21" t="s">
        <v>50</v>
      </c>
      <c r="D31" s="121" t="s">
        <v>51</v>
      </c>
      <c r="E31" s="121"/>
      <c r="F31" s="121"/>
      <c r="G31" s="121"/>
      <c r="H31" s="18"/>
      <c r="I31" s="18" t="s">
        <v>48</v>
      </c>
      <c r="J31" s="114" t="s">
        <v>49</v>
      </c>
      <c r="K31" s="55"/>
      <c r="L31" s="55"/>
      <c r="M31" s="55"/>
      <c r="N31" s="59"/>
      <c r="P31" s="29"/>
      <c r="Q31" s="30"/>
      <c r="R31" s="30"/>
      <c r="S31" s="30"/>
      <c r="T31" s="30"/>
      <c r="U31" s="30"/>
      <c r="V31" s="30"/>
    </row>
    <row r="32" spans="2:27" ht="14.45" customHeight="1">
      <c r="B32" s="10">
        <v>10</v>
      </c>
      <c r="C32" s="21"/>
      <c r="D32" s="121" t="s">
        <v>52</v>
      </c>
      <c r="E32" s="121"/>
      <c r="F32" s="121"/>
      <c r="G32" s="121"/>
      <c r="H32" s="18">
        <v>3</v>
      </c>
      <c r="I32" s="18" t="s">
        <v>48</v>
      </c>
      <c r="J32" s="113"/>
      <c r="K32" s="80"/>
      <c r="L32" s="80"/>
      <c r="M32" s="80"/>
      <c r="N32" s="81"/>
      <c r="P32" s="29"/>
      <c r="Q32" s="30"/>
      <c r="R32" s="30"/>
      <c r="S32" s="30"/>
      <c r="T32" s="30"/>
      <c r="U32" s="30"/>
      <c r="V32" s="30"/>
    </row>
    <row r="33" spans="2:27" ht="14.45" customHeight="1">
      <c r="B33" s="10">
        <v>11</v>
      </c>
      <c r="C33" s="21" t="s">
        <v>53</v>
      </c>
      <c r="D33" s="121" t="s">
        <v>53</v>
      </c>
      <c r="E33" s="121"/>
      <c r="F33" s="121"/>
      <c r="G33" s="121"/>
      <c r="H33" s="18"/>
      <c r="I33" s="18" t="s">
        <v>48</v>
      </c>
      <c r="J33" s="113"/>
      <c r="K33" s="80"/>
      <c r="L33" s="80"/>
      <c r="M33" s="80"/>
      <c r="N33" s="81"/>
      <c r="P33" s="29"/>
      <c r="Q33" s="30"/>
      <c r="R33" s="30"/>
      <c r="S33" s="30"/>
      <c r="T33" s="30"/>
      <c r="U33" s="30"/>
      <c r="V33" s="30"/>
    </row>
    <row r="34" spans="2:27" ht="14.45" customHeight="1">
      <c r="B34" s="10">
        <v>12</v>
      </c>
      <c r="C34" s="21"/>
      <c r="D34" s="121" t="s">
        <v>54</v>
      </c>
      <c r="E34" s="121"/>
      <c r="F34" s="121"/>
      <c r="G34" s="121"/>
      <c r="H34" s="18">
        <v>1</v>
      </c>
      <c r="I34" s="18" t="s">
        <v>36</v>
      </c>
      <c r="J34" s="113"/>
      <c r="K34" s="80"/>
      <c r="L34" s="80"/>
      <c r="M34" s="80"/>
      <c r="N34" s="81"/>
      <c r="P34" s="29"/>
      <c r="Q34" s="30"/>
      <c r="R34" s="30"/>
      <c r="S34" s="30"/>
      <c r="T34" s="30"/>
      <c r="U34" s="30"/>
      <c r="V34" s="30"/>
    </row>
    <row r="35" spans="2:27">
      <c r="B35" s="10">
        <v>13</v>
      </c>
      <c r="C35" s="21"/>
      <c r="D35" s="121" t="s">
        <v>55</v>
      </c>
      <c r="E35" s="121"/>
      <c r="F35" s="121"/>
      <c r="G35" s="121"/>
      <c r="H35" s="18">
        <v>1</v>
      </c>
      <c r="I35" s="18" t="s">
        <v>36</v>
      </c>
      <c r="J35" s="113"/>
      <c r="K35" s="80"/>
      <c r="L35" s="80"/>
      <c r="M35" s="80"/>
      <c r="N35" s="81"/>
      <c r="P35" s="29"/>
      <c r="Q35" s="30"/>
      <c r="R35" s="30"/>
      <c r="S35" s="30"/>
      <c r="T35" s="30"/>
      <c r="U35" s="30"/>
      <c r="V35" s="30"/>
    </row>
    <row r="36" spans="2:27">
      <c r="B36" s="10">
        <v>14</v>
      </c>
      <c r="C36" s="21"/>
      <c r="D36" s="127"/>
      <c r="E36" s="127"/>
      <c r="F36" s="127"/>
      <c r="G36" s="127"/>
      <c r="H36" s="18"/>
      <c r="I36" s="18"/>
      <c r="J36" s="113"/>
      <c r="K36" s="80"/>
      <c r="L36" s="80"/>
      <c r="M36" s="80"/>
      <c r="N36" s="81"/>
      <c r="P36" s="29"/>
      <c r="Q36" s="30"/>
      <c r="R36" s="30"/>
      <c r="S36" s="30"/>
      <c r="T36" s="30"/>
      <c r="U36" s="30"/>
      <c r="V36" s="30"/>
    </row>
    <row r="37" spans="2:27">
      <c r="B37" s="10">
        <v>15</v>
      </c>
      <c r="C37" s="21"/>
      <c r="D37" s="127"/>
      <c r="E37" s="127"/>
      <c r="F37" s="127"/>
      <c r="G37" s="127"/>
      <c r="H37" s="18"/>
      <c r="I37" s="18"/>
      <c r="J37" s="113"/>
      <c r="K37" s="80"/>
      <c r="L37" s="80"/>
      <c r="M37" s="80"/>
      <c r="N37" s="81"/>
      <c r="P37" s="29"/>
      <c r="Q37" s="30"/>
      <c r="R37" s="30"/>
      <c r="S37" s="30"/>
      <c r="T37" s="30"/>
      <c r="U37" s="30"/>
      <c r="V37" s="30"/>
    </row>
    <row r="38" spans="2:27">
      <c r="B38" s="10">
        <v>16</v>
      </c>
      <c r="C38" s="21"/>
      <c r="D38" s="127"/>
      <c r="E38" s="127"/>
      <c r="F38" s="127"/>
      <c r="G38" s="127"/>
      <c r="H38" s="18"/>
      <c r="I38" s="18"/>
      <c r="J38" s="113"/>
      <c r="K38" s="80"/>
      <c r="L38" s="80"/>
      <c r="M38" s="80"/>
      <c r="N38" s="81"/>
      <c r="P38" s="29"/>
      <c r="Q38" s="30"/>
      <c r="R38" s="30"/>
      <c r="S38" s="30"/>
      <c r="T38" s="30"/>
      <c r="U38" s="30"/>
      <c r="V38" s="30"/>
    </row>
    <row r="39" spans="2:27">
      <c r="B39" s="10">
        <v>17</v>
      </c>
      <c r="C39" s="21"/>
      <c r="D39" s="127"/>
      <c r="E39" s="127"/>
      <c r="F39" s="127"/>
      <c r="G39" s="127"/>
      <c r="H39" s="18"/>
      <c r="I39" s="18"/>
      <c r="J39" s="113"/>
      <c r="K39" s="80"/>
      <c r="L39" s="80"/>
      <c r="M39" s="80"/>
      <c r="N39" s="81"/>
      <c r="P39" s="29"/>
      <c r="Q39" s="30"/>
      <c r="R39" s="30"/>
      <c r="S39" s="30"/>
      <c r="T39" s="30"/>
      <c r="U39" s="30"/>
      <c r="V39" s="30"/>
    </row>
    <row r="40" spans="2:27">
      <c r="B40" s="10">
        <v>18</v>
      </c>
      <c r="C40" s="21"/>
      <c r="D40" s="127"/>
      <c r="E40" s="127"/>
      <c r="F40" s="127"/>
      <c r="G40" s="127"/>
      <c r="H40" s="18"/>
      <c r="I40" s="18"/>
      <c r="J40" s="113"/>
      <c r="K40" s="80"/>
      <c r="L40" s="80"/>
      <c r="M40" s="80"/>
      <c r="N40" s="81"/>
      <c r="P40" s="29"/>
      <c r="Q40" s="30"/>
      <c r="R40" s="30"/>
      <c r="S40" s="30"/>
      <c r="T40" s="30"/>
      <c r="U40" s="30"/>
      <c r="V40" s="30"/>
    </row>
    <row r="41" spans="2:27">
      <c r="P41" s="29"/>
      <c r="Q41" s="30"/>
      <c r="R41" s="30"/>
      <c r="S41" s="30"/>
      <c r="T41" s="30"/>
      <c r="U41" s="30"/>
      <c r="V41" s="30"/>
    </row>
    <row r="42" spans="2:27" s="13" customFormat="1" ht="23.45" customHeight="1">
      <c r="B42" s="68" t="s">
        <v>56</v>
      </c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P42" s="31"/>
      <c r="Q42" s="30"/>
      <c r="R42" s="30"/>
      <c r="S42" s="30"/>
      <c r="T42" s="30"/>
      <c r="U42" s="32"/>
      <c r="V42" s="32"/>
      <c r="W42" s="24"/>
      <c r="X42" s="24"/>
      <c r="Y42" s="24"/>
      <c r="Z42" s="24"/>
      <c r="AA42" s="24"/>
    </row>
    <row r="43" spans="2:27">
      <c r="B43" s="128" t="s">
        <v>57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2"/>
      <c r="P43" s="29"/>
      <c r="Q43" s="30"/>
      <c r="R43" s="30"/>
      <c r="S43" s="30"/>
      <c r="T43" s="30"/>
      <c r="U43" s="30"/>
      <c r="V43" s="30"/>
    </row>
    <row r="44" spans="2:27">
      <c r="B44" s="73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/>
      <c r="P44" s="29"/>
      <c r="Q44" s="30"/>
      <c r="R44" s="30"/>
      <c r="S44" s="30"/>
      <c r="T44" s="30"/>
      <c r="U44" s="30"/>
      <c r="V44" s="30"/>
    </row>
    <row r="45" spans="2:27">
      <c r="B45" s="73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/>
      <c r="P45" s="29"/>
      <c r="Q45" s="30"/>
      <c r="R45" s="30"/>
      <c r="S45" s="30"/>
      <c r="T45" s="30"/>
      <c r="U45" s="30"/>
      <c r="V45" s="30"/>
    </row>
    <row r="46" spans="2:27">
      <c r="B46" s="73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/>
      <c r="P46" s="35"/>
      <c r="Q46" s="30"/>
      <c r="R46" s="30"/>
      <c r="S46" s="30"/>
      <c r="T46" s="30"/>
      <c r="U46" s="30"/>
      <c r="V46" s="30"/>
    </row>
    <row r="47" spans="2:27">
      <c r="B47" s="73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/>
      <c r="P47" s="35"/>
      <c r="Q47" s="30"/>
      <c r="R47" s="30"/>
      <c r="S47" s="30"/>
      <c r="T47" s="30"/>
      <c r="U47" s="30"/>
      <c r="V47" s="30"/>
    </row>
    <row r="48" spans="2:27">
      <c r="B48" s="73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/>
      <c r="P48" s="35"/>
      <c r="Q48" s="30"/>
      <c r="R48" s="30"/>
      <c r="S48" s="30"/>
      <c r="T48" s="30"/>
      <c r="U48" s="30"/>
      <c r="V48" s="30"/>
    </row>
    <row r="49" spans="2:25">
      <c r="B49" s="73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5"/>
      <c r="P49" s="29"/>
      <c r="Q49" s="30"/>
      <c r="R49" s="30"/>
      <c r="S49" s="30"/>
      <c r="T49" s="30"/>
      <c r="U49" s="30"/>
      <c r="V49" s="30"/>
    </row>
    <row r="50" spans="2:25">
      <c r="B50" s="73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  <c r="P50" s="29"/>
      <c r="Q50" s="30"/>
      <c r="R50" s="30"/>
      <c r="S50" s="30"/>
      <c r="T50" s="30"/>
      <c r="U50" s="30"/>
      <c r="V50" s="30"/>
    </row>
    <row r="51" spans="2:25">
      <c r="B51" s="73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5"/>
      <c r="P51" s="29"/>
      <c r="Q51" s="30"/>
      <c r="R51" s="30"/>
      <c r="S51" s="30"/>
      <c r="T51" s="30"/>
      <c r="U51" s="30"/>
      <c r="V51" s="30"/>
    </row>
    <row r="52" spans="2:25">
      <c r="B52" s="73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  <c r="P52" s="29"/>
      <c r="Q52" s="30"/>
      <c r="R52" s="30"/>
      <c r="S52" s="30"/>
      <c r="T52" s="30"/>
      <c r="U52" s="30"/>
      <c r="V52" s="30"/>
    </row>
    <row r="53" spans="2:25">
      <c r="B53" s="73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5"/>
    </row>
    <row r="54" spans="2:25"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5"/>
    </row>
    <row r="55" spans="2:25">
      <c r="B55" s="73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</row>
    <row r="56" spans="2:25">
      <c r="B56" s="73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5"/>
      <c r="R56" s="25"/>
      <c r="S56" s="25"/>
      <c r="T56" s="25"/>
      <c r="U56" s="25"/>
      <c r="V56" s="25"/>
      <c r="W56" s="25"/>
      <c r="X56" s="25"/>
      <c r="Y56" s="25"/>
    </row>
    <row r="57" spans="2:25">
      <c r="B57" s="73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5"/>
      <c r="R57" s="25"/>
      <c r="S57" s="25"/>
      <c r="T57" s="25"/>
      <c r="U57" s="25"/>
      <c r="V57" s="25"/>
      <c r="W57" s="25"/>
      <c r="X57" s="25"/>
      <c r="Y57" s="25"/>
    </row>
    <row r="58" spans="2:25">
      <c r="B58" s="73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5"/>
      <c r="R58" s="25"/>
      <c r="S58" s="25"/>
      <c r="T58" s="25"/>
      <c r="U58" s="25"/>
      <c r="V58" s="25"/>
      <c r="W58" s="25"/>
      <c r="X58" s="25"/>
      <c r="Y58" s="25"/>
    </row>
    <row r="59" spans="2:25">
      <c r="B59" s="73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5"/>
      <c r="R59" s="25"/>
      <c r="S59" s="36" t="s">
        <v>68</v>
      </c>
      <c r="T59" s="37" t="s">
        <v>69</v>
      </c>
      <c r="U59" s="37" t="s">
        <v>70</v>
      </c>
      <c r="V59" s="37" t="s">
        <v>71</v>
      </c>
      <c r="W59" s="25"/>
      <c r="X59" s="25"/>
      <c r="Y59" s="25"/>
    </row>
    <row r="60" spans="2:25">
      <c r="B60" s="73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5"/>
      <c r="R60" s="25"/>
      <c r="S60" s="82"/>
      <c r="T60" s="83"/>
      <c r="U60" s="84"/>
      <c r="V60" s="84"/>
      <c r="W60" s="25"/>
      <c r="X60" s="25"/>
      <c r="Y60" s="25"/>
    </row>
    <row r="61" spans="2:25">
      <c r="B61" s="73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5"/>
      <c r="R61" s="25"/>
      <c r="S61" s="82"/>
      <c r="T61" s="83"/>
      <c r="U61" s="84"/>
      <c r="V61" s="84"/>
      <c r="W61" s="25"/>
      <c r="X61" s="25"/>
      <c r="Y61" s="25"/>
    </row>
    <row r="62" spans="2:25">
      <c r="B62" s="73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5"/>
      <c r="R62" s="25"/>
      <c r="S62" s="82"/>
      <c r="T62" s="83"/>
      <c r="U62" s="84"/>
      <c r="V62" s="84"/>
      <c r="W62" s="25"/>
      <c r="X62" s="25"/>
      <c r="Y62" s="25"/>
    </row>
    <row r="63" spans="2:25">
      <c r="B63" s="73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5"/>
      <c r="R63" s="25"/>
      <c r="S63" s="38"/>
      <c r="T63" s="38"/>
      <c r="U63" s="38"/>
      <c r="V63" s="38"/>
      <c r="W63" s="25"/>
      <c r="X63" s="25"/>
      <c r="Y63" s="25"/>
    </row>
    <row r="64" spans="2:25">
      <c r="B64" s="7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8"/>
      <c r="R64" s="25"/>
      <c r="S64" s="25"/>
      <c r="T64" s="25"/>
      <c r="U64" s="25"/>
      <c r="V64" s="25"/>
      <c r="W64" s="25"/>
      <c r="X64" s="25"/>
      <c r="Y64" s="25"/>
    </row>
    <row r="65" spans="18:25">
      <c r="R65" s="25"/>
      <c r="S65" s="25"/>
      <c r="T65" s="25"/>
      <c r="U65" s="25"/>
      <c r="V65" s="25"/>
      <c r="W65" s="25"/>
      <c r="X65" s="25"/>
      <c r="Y65" s="25"/>
    </row>
    <row r="66" spans="18:25">
      <c r="R66" s="25"/>
      <c r="S66" s="25"/>
      <c r="T66" s="25"/>
      <c r="U66" s="25"/>
      <c r="V66" s="25"/>
      <c r="W66" s="25"/>
      <c r="X66" s="25"/>
      <c r="Y66" s="25"/>
    </row>
    <row r="67" spans="18:25">
      <c r="R67" s="25"/>
      <c r="S67" s="25"/>
      <c r="T67" s="25"/>
      <c r="U67" s="25"/>
      <c r="V67" s="25"/>
      <c r="W67" s="25"/>
      <c r="X67" s="25"/>
      <c r="Y67" s="25"/>
    </row>
    <row r="68" spans="18:25">
      <c r="R68" s="25"/>
      <c r="S68" s="25"/>
      <c r="T68" s="25"/>
      <c r="U68" s="25"/>
      <c r="V68" s="25"/>
      <c r="W68" s="25"/>
      <c r="X68" s="25"/>
      <c r="Y68" s="25"/>
    </row>
    <row r="69" spans="18:25">
      <c r="R69" s="25"/>
      <c r="S69" s="25"/>
      <c r="T69" s="25"/>
      <c r="U69" s="25"/>
      <c r="V69" s="25"/>
      <c r="W69" s="25"/>
      <c r="X69" s="25"/>
      <c r="Y69" s="25"/>
    </row>
    <row r="70" spans="18:25">
      <c r="R70" s="25"/>
      <c r="S70" s="25"/>
      <c r="T70" s="25"/>
      <c r="U70" s="25"/>
      <c r="V70" s="25"/>
      <c r="W70" s="25"/>
      <c r="X70" s="25"/>
      <c r="Y70" s="25"/>
    </row>
  </sheetData>
  <mergeCells count="64">
    <mergeCell ref="B11:C11"/>
    <mergeCell ref="E11:G11"/>
    <mergeCell ref="B5:N7"/>
    <mergeCell ref="B9:C9"/>
    <mergeCell ref="E9:G9"/>
    <mergeCell ref="B10:C10"/>
    <mergeCell ref="E10:G10"/>
    <mergeCell ref="D22:G22"/>
    <mergeCell ref="J22:N22"/>
    <mergeCell ref="B12:C12"/>
    <mergeCell ref="E12:G12"/>
    <mergeCell ref="B13:C13"/>
    <mergeCell ref="E13:G13"/>
    <mergeCell ref="B16:N16"/>
    <mergeCell ref="B17:C17"/>
    <mergeCell ref="D17:E17"/>
    <mergeCell ref="G17:N17"/>
    <mergeCell ref="D18:E18"/>
    <mergeCell ref="G18:N18"/>
    <mergeCell ref="D19:E19"/>
    <mergeCell ref="G19:N19"/>
    <mergeCell ref="B21:N21"/>
    <mergeCell ref="D23:G23"/>
    <mergeCell ref="J23:N23"/>
    <mergeCell ref="D24:G24"/>
    <mergeCell ref="J24:N24"/>
    <mergeCell ref="D25:G25"/>
    <mergeCell ref="J25:N25"/>
    <mergeCell ref="D26:G26"/>
    <mergeCell ref="J26:N26"/>
    <mergeCell ref="D27:G27"/>
    <mergeCell ref="J27:N27"/>
    <mergeCell ref="D28:G28"/>
    <mergeCell ref="J28:N28"/>
    <mergeCell ref="D29:G29"/>
    <mergeCell ref="J29:N29"/>
    <mergeCell ref="D30:G30"/>
    <mergeCell ref="J30:N30"/>
    <mergeCell ref="D31:G31"/>
    <mergeCell ref="J31:N31"/>
    <mergeCell ref="D32:G32"/>
    <mergeCell ref="J32:N32"/>
    <mergeCell ref="D33:G33"/>
    <mergeCell ref="J33:N33"/>
    <mergeCell ref="D34:G34"/>
    <mergeCell ref="J34:N34"/>
    <mergeCell ref="D35:G35"/>
    <mergeCell ref="J35:N35"/>
    <mergeCell ref="D36:G36"/>
    <mergeCell ref="J36:N36"/>
    <mergeCell ref="D37:G37"/>
    <mergeCell ref="J37:N37"/>
    <mergeCell ref="V60:V62"/>
    <mergeCell ref="D38:G38"/>
    <mergeCell ref="J38:N38"/>
    <mergeCell ref="D39:G39"/>
    <mergeCell ref="J39:N39"/>
    <mergeCell ref="D40:G40"/>
    <mergeCell ref="J40:N40"/>
    <mergeCell ref="B42:N42"/>
    <mergeCell ref="B43:N64"/>
    <mergeCell ref="S60:S62"/>
    <mergeCell ref="T60:T62"/>
    <mergeCell ref="U60:U6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718E-B39A-4353-B903-E723F84ED30B}">
  <sheetPr>
    <pageSetUpPr fitToPage="1"/>
  </sheetPr>
  <dimension ref="B5:AA65"/>
  <sheetViews>
    <sheetView showGridLines="0" tabSelected="1" view="pageBreakPreview" zoomScale="85" zoomScaleNormal="85" zoomScaleSheetLayoutView="85" workbookViewId="0">
      <selection activeCell="D29" sqref="D29:G29"/>
    </sheetView>
  </sheetViews>
  <sheetFormatPr defaultColWidth="9" defaultRowHeight="15"/>
  <cols>
    <col min="1" max="1" width="5.375" style="1" customWidth="1"/>
    <col min="2" max="2" width="4.375" style="1" customWidth="1"/>
    <col min="3" max="3" width="12.125" style="1" customWidth="1"/>
    <col min="4" max="4" width="2.125" style="1" customWidth="1"/>
    <col min="5" max="5" width="8.375" style="1" customWidth="1"/>
    <col min="6" max="6" width="10.625" style="1" customWidth="1"/>
    <col min="7" max="7" width="20.125" style="1" customWidth="1"/>
    <col min="8" max="8" width="8.125" style="1" customWidth="1"/>
    <col min="9" max="9" width="11.375" style="1" customWidth="1"/>
    <col min="10" max="10" width="2.125" style="1" customWidth="1"/>
    <col min="11" max="11" width="15.875" style="1" customWidth="1"/>
    <col min="12" max="14" width="10.625" style="1" customWidth="1"/>
    <col min="15" max="15" width="9" style="1"/>
    <col min="16" max="16" width="9" style="22"/>
    <col min="17" max="17" width="9" style="23"/>
    <col min="18" max="18" width="9" style="23" customWidth="1"/>
    <col min="19" max="22" width="10.125" style="23" customWidth="1"/>
    <col min="23" max="27" width="9" style="23"/>
    <col min="28" max="16384" width="9" style="1"/>
  </cols>
  <sheetData>
    <row r="5" spans="2:27" ht="17.100000000000001" customHeight="1">
      <c r="B5" s="110" t="s">
        <v>0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2:27"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</row>
    <row r="7" spans="2:27"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P7" s="29"/>
      <c r="Q7" s="30"/>
      <c r="R7" s="30"/>
      <c r="S7" s="30"/>
      <c r="T7" s="30"/>
      <c r="U7" s="30"/>
      <c r="V7" s="30"/>
    </row>
    <row r="8" spans="2:27">
      <c r="P8" s="29"/>
      <c r="Q8" s="30"/>
      <c r="R8" s="30"/>
      <c r="S8" s="30"/>
      <c r="T8" s="30"/>
      <c r="U8" s="30"/>
      <c r="V8" s="30"/>
    </row>
    <row r="9" spans="2:27" ht="16.5">
      <c r="B9" s="101" t="s">
        <v>2</v>
      </c>
      <c r="C9" s="101"/>
      <c r="D9" s="2" t="s">
        <v>3</v>
      </c>
      <c r="E9" s="112">
        <v>46272</v>
      </c>
      <c r="F9" s="112"/>
      <c r="G9" s="112"/>
      <c r="H9" s="3"/>
      <c r="I9" s="4" t="s">
        <v>4</v>
      </c>
      <c r="J9" s="2" t="s">
        <v>3</v>
      </c>
      <c r="K9" s="11" t="s">
        <v>72</v>
      </c>
      <c r="N9" s="2"/>
      <c r="P9" s="29"/>
      <c r="Q9" s="30"/>
      <c r="R9" s="30"/>
      <c r="S9" s="30"/>
      <c r="T9" s="30"/>
      <c r="U9" s="30"/>
      <c r="V9" s="30"/>
    </row>
    <row r="10" spans="2:27" ht="16.5">
      <c r="B10" s="101" t="s">
        <v>6</v>
      </c>
      <c r="C10" s="101"/>
      <c r="D10" s="2" t="s">
        <v>3</v>
      </c>
      <c r="E10" s="102" t="s">
        <v>73</v>
      </c>
      <c r="F10" s="102"/>
      <c r="G10" s="102"/>
      <c r="H10" s="3"/>
      <c r="I10" s="4" t="s">
        <v>7</v>
      </c>
      <c r="J10" s="2" t="s">
        <v>3</v>
      </c>
      <c r="K10" s="5">
        <v>50</v>
      </c>
      <c r="N10" s="2"/>
      <c r="P10" s="29"/>
      <c r="Q10" s="30"/>
      <c r="R10" s="30"/>
      <c r="S10" s="30"/>
      <c r="T10" s="30"/>
      <c r="U10" s="30"/>
      <c r="V10" s="30"/>
    </row>
    <row r="11" spans="2:27" ht="31.5" customHeight="1">
      <c r="B11" s="101" t="s">
        <v>8</v>
      </c>
      <c r="C11" s="101"/>
      <c r="D11" s="2" t="s">
        <v>3</v>
      </c>
      <c r="E11" s="109" t="s">
        <v>74</v>
      </c>
      <c r="F11" s="109"/>
      <c r="G11" s="109"/>
      <c r="H11" s="3"/>
      <c r="I11" s="4" t="s">
        <v>9</v>
      </c>
      <c r="J11" s="2" t="s">
        <v>3</v>
      </c>
      <c r="K11" s="5">
        <v>10</v>
      </c>
      <c r="N11" s="2"/>
      <c r="P11" s="29"/>
      <c r="Q11" s="30"/>
      <c r="R11" s="30"/>
      <c r="S11" s="30"/>
      <c r="T11" s="30"/>
      <c r="U11" s="30"/>
      <c r="V11" s="30"/>
    </row>
    <row r="12" spans="2:27" ht="16.5">
      <c r="B12" s="101" t="s">
        <v>10</v>
      </c>
      <c r="C12" s="101"/>
      <c r="D12" s="2" t="s">
        <v>3</v>
      </c>
      <c r="E12" s="102" t="s">
        <v>11</v>
      </c>
      <c r="F12" s="102"/>
      <c r="G12" s="102"/>
      <c r="H12" s="3"/>
      <c r="I12" s="4" t="s">
        <v>12</v>
      </c>
      <c r="J12" s="2" t="s">
        <v>3</v>
      </c>
      <c r="K12" s="5">
        <v>40</v>
      </c>
      <c r="N12" s="2"/>
      <c r="P12" s="29"/>
      <c r="Q12" s="30"/>
      <c r="R12" s="30"/>
      <c r="S12" s="30"/>
      <c r="T12" s="30"/>
      <c r="U12" s="30"/>
      <c r="V12" s="30"/>
    </row>
    <row r="13" spans="2:27" ht="16.5">
      <c r="B13" s="101" t="s">
        <v>13</v>
      </c>
      <c r="C13" s="101"/>
      <c r="D13" s="2" t="s">
        <v>3</v>
      </c>
      <c r="E13" s="102" t="s">
        <v>75</v>
      </c>
      <c r="F13" s="102"/>
      <c r="G13" s="102"/>
      <c r="H13" s="3"/>
      <c r="I13" s="4" t="s">
        <v>15</v>
      </c>
      <c r="J13" s="2" t="s">
        <v>3</v>
      </c>
      <c r="K13" s="6" t="str">
        <f>(K10-K11-K12)&amp;" Pcs"&amp;" ("&amp;TEXT((K10-K11-K12)/K12,"0%")&amp;")"</f>
        <v>0 Pcs (0%)</v>
      </c>
      <c r="L13" s="7"/>
      <c r="M13" s="7"/>
      <c r="N13" s="7"/>
      <c r="P13" s="29"/>
      <c r="Q13" s="30"/>
      <c r="R13" s="30"/>
      <c r="S13" s="30"/>
      <c r="T13" s="30"/>
      <c r="U13" s="30"/>
      <c r="V13" s="30"/>
    </row>
    <row r="14" spans="2:27" ht="16.5">
      <c r="B14" s="14"/>
      <c r="C14" s="14"/>
      <c r="D14" s="2"/>
      <c r="E14" s="15"/>
      <c r="F14" s="15"/>
      <c r="G14" s="15"/>
      <c r="H14" s="3"/>
      <c r="I14" s="16"/>
      <c r="J14" s="2"/>
      <c r="K14" s="17"/>
      <c r="L14" s="7"/>
      <c r="M14" s="7"/>
      <c r="N14" s="7"/>
      <c r="P14" s="29"/>
      <c r="Q14" s="30"/>
      <c r="R14" s="30"/>
      <c r="S14" s="30"/>
      <c r="T14" s="30"/>
      <c r="U14" s="30"/>
      <c r="V14" s="30"/>
    </row>
    <row r="15" spans="2:27">
      <c r="P15" s="29"/>
      <c r="Q15" s="30"/>
      <c r="R15" s="30"/>
      <c r="S15" s="30"/>
      <c r="T15" s="30"/>
      <c r="U15" s="30"/>
      <c r="V15" s="30"/>
    </row>
    <row r="16" spans="2:27" s="13" customFormat="1" ht="23.45" customHeight="1">
      <c r="B16" s="68" t="s">
        <v>17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P16" s="31"/>
      <c r="Q16" s="32"/>
      <c r="R16" s="32"/>
      <c r="S16" s="32"/>
      <c r="T16" s="32"/>
      <c r="U16" s="32"/>
      <c r="V16" s="32"/>
      <c r="W16" s="24"/>
      <c r="X16" s="24"/>
      <c r="Y16" s="24"/>
      <c r="Z16" s="24"/>
      <c r="AA16" s="24"/>
    </row>
    <row r="17" spans="2:27" ht="66">
      <c r="B17" s="103" t="s">
        <v>18</v>
      </c>
      <c r="C17" s="103"/>
      <c r="D17" s="103" t="s">
        <v>19</v>
      </c>
      <c r="E17" s="103"/>
      <c r="F17" s="42" t="s">
        <v>76</v>
      </c>
      <c r="G17" s="104" t="s">
        <v>21</v>
      </c>
      <c r="H17" s="105"/>
      <c r="I17" s="105"/>
      <c r="J17" s="105"/>
      <c r="K17" s="105"/>
      <c r="L17" s="105"/>
      <c r="M17" s="105"/>
      <c r="N17" s="106"/>
      <c r="P17" s="29"/>
      <c r="Q17" s="30"/>
      <c r="R17" s="33"/>
      <c r="S17" s="30"/>
      <c r="T17" s="30"/>
      <c r="U17" s="30"/>
      <c r="V17" s="30"/>
    </row>
    <row r="18" spans="2:27" ht="33" customHeight="1">
      <c r="B18" s="20" t="s">
        <v>22</v>
      </c>
      <c r="C18" s="48" t="s">
        <v>77</v>
      </c>
      <c r="D18" s="85">
        <v>1</v>
      </c>
      <c r="E18" s="87"/>
      <c r="F18" s="12">
        <v>70</v>
      </c>
      <c r="G18" s="107" t="s">
        <v>78</v>
      </c>
      <c r="H18" s="108"/>
      <c r="I18" s="108"/>
      <c r="J18" s="108"/>
      <c r="K18" s="108"/>
      <c r="L18" s="108"/>
      <c r="M18" s="108"/>
      <c r="N18" s="108"/>
      <c r="P18" s="29"/>
      <c r="Q18" s="30"/>
      <c r="R18" s="33"/>
      <c r="S18" s="30"/>
      <c r="T18" s="30"/>
      <c r="U18" s="30"/>
      <c r="V18" s="30"/>
    </row>
    <row r="19" spans="2:27" ht="14.45" customHeight="1">
      <c r="B19" s="20" t="s">
        <v>25</v>
      </c>
      <c r="C19" s="48" t="s">
        <v>77</v>
      </c>
      <c r="D19" s="85">
        <v>10</v>
      </c>
      <c r="E19" s="87"/>
      <c r="F19" s="12">
        <v>70</v>
      </c>
      <c r="G19" s="107" t="s">
        <v>78</v>
      </c>
      <c r="H19" s="108"/>
      <c r="I19" s="108"/>
      <c r="J19" s="108"/>
      <c r="K19" s="108"/>
      <c r="L19" s="108"/>
      <c r="M19" s="108"/>
      <c r="N19" s="108"/>
      <c r="P19" s="29"/>
      <c r="Q19" s="30"/>
      <c r="R19" s="33"/>
      <c r="S19" s="30"/>
      <c r="T19" s="30"/>
      <c r="U19" s="30"/>
      <c r="V19" s="30"/>
    </row>
    <row r="20" spans="2:27">
      <c r="P20" s="29"/>
      <c r="Q20" s="30"/>
      <c r="R20" s="33"/>
      <c r="S20" s="30"/>
      <c r="T20" s="30"/>
      <c r="U20" s="30"/>
      <c r="V20" s="30"/>
    </row>
    <row r="21" spans="2:27" s="13" customFormat="1" ht="23.45" customHeight="1">
      <c r="B21" s="68" t="s">
        <v>28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P21" s="31"/>
      <c r="Q21" s="32"/>
      <c r="R21" s="34"/>
      <c r="S21" s="32"/>
      <c r="T21" s="32"/>
      <c r="U21" s="32"/>
      <c r="V21" s="32"/>
      <c r="W21" s="24"/>
      <c r="X21" s="24"/>
      <c r="Y21" s="24"/>
      <c r="Z21" s="24"/>
      <c r="AA21" s="24"/>
    </row>
    <row r="22" spans="2:27" ht="17.100000000000001" customHeight="1">
      <c r="B22" s="40" t="s">
        <v>29</v>
      </c>
      <c r="C22" s="40" t="s">
        <v>30</v>
      </c>
      <c r="D22" s="98" t="s">
        <v>31</v>
      </c>
      <c r="E22" s="99"/>
      <c r="F22" s="99"/>
      <c r="G22" s="100"/>
      <c r="H22" s="40" t="s">
        <v>19</v>
      </c>
      <c r="I22" s="41" t="s">
        <v>32</v>
      </c>
      <c r="J22" s="98" t="s">
        <v>33</v>
      </c>
      <c r="K22" s="99"/>
      <c r="L22" s="99"/>
      <c r="M22" s="99"/>
      <c r="N22" s="100"/>
      <c r="P22" s="29"/>
      <c r="Q22" s="30"/>
      <c r="R22" s="33"/>
      <c r="S22" s="30"/>
      <c r="T22" s="30"/>
      <c r="U22" s="30"/>
      <c r="V22" s="30"/>
    </row>
    <row r="23" spans="2:27">
      <c r="B23" s="10">
        <v>1</v>
      </c>
      <c r="C23" s="52" t="s">
        <v>79</v>
      </c>
      <c r="D23" s="94" t="s">
        <v>80</v>
      </c>
      <c r="E23" s="95"/>
      <c r="F23" s="95"/>
      <c r="G23" s="95"/>
      <c r="H23" s="10">
        <v>1</v>
      </c>
      <c r="I23" s="10"/>
      <c r="J23" s="91"/>
      <c r="K23" s="91"/>
      <c r="L23" s="91"/>
      <c r="M23" s="91"/>
      <c r="N23" s="91"/>
      <c r="P23" s="29"/>
      <c r="Q23" s="30"/>
      <c r="R23" s="30"/>
      <c r="S23" s="30"/>
      <c r="T23" s="30"/>
      <c r="U23" s="30"/>
      <c r="V23" s="30"/>
    </row>
    <row r="24" spans="2:27" ht="14.45" customHeight="1">
      <c r="B24" s="43">
        <v>2</v>
      </c>
      <c r="C24" s="39"/>
      <c r="D24" s="88" t="s">
        <v>81</v>
      </c>
      <c r="E24" s="89"/>
      <c r="F24" s="89"/>
      <c r="G24" s="89"/>
      <c r="H24" s="51"/>
      <c r="I24" s="44" t="s">
        <v>32</v>
      </c>
      <c r="J24" s="91"/>
      <c r="K24" s="91"/>
      <c r="L24" s="91"/>
      <c r="M24" s="91"/>
      <c r="N24" s="91"/>
      <c r="P24" s="29"/>
      <c r="Q24" s="30"/>
      <c r="R24" s="29"/>
      <c r="S24" s="30"/>
      <c r="T24" s="30"/>
      <c r="U24" s="30"/>
      <c r="V24" s="30"/>
    </row>
    <row r="25" spans="2:27" ht="14.45" customHeight="1">
      <c r="B25" s="10">
        <v>3</v>
      </c>
      <c r="C25" s="39" t="s">
        <v>82</v>
      </c>
      <c r="D25" s="89" t="s">
        <v>83</v>
      </c>
      <c r="E25" s="89"/>
      <c r="F25" s="89"/>
      <c r="G25" s="90"/>
      <c r="H25" s="44"/>
      <c r="I25" s="44"/>
      <c r="J25" s="96"/>
      <c r="K25" s="97"/>
      <c r="L25" s="97"/>
      <c r="M25" s="97"/>
      <c r="N25" s="97"/>
      <c r="P25" s="29"/>
      <c r="Q25" s="30"/>
      <c r="R25" s="30"/>
      <c r="S25" s="30"/>
      <c r="T25" s="30"/>
      <c r="U25" s="30"/>
      <c r="V25" s="30"/>
    </row>
    <row r="26" spans="2:27" ht="14.45" customHeight="1">
      <c r="B26" s="43">
        <v>4</v>
      </c>
      <c r="C26" s="39"/>
      <c r="D26" s="88" t="s">
        <v>84</v>
      </c>
      <c r="E26" s="89"/>
      <c r="F26" s="89"/>
      <c r="G26" s="90"/>
      <c r="H26" s="10">
        <v>1</v>
      </c>
      <c r="I26" s="10"/>
      <c r="J26" s="91"/>
      <c r="K26" s="91"/>
      <c r="L26" s="91"/>
      <c r="M26" s="91"/>
      <c r="N26" s="91"/>
      <c r="P26" s="29"/>
      <c r="Q26" s="30"/>
      <c r="R26" s="30"/>
      <c r="S26" s="30"/>
      <c r="T26" s="30"/>
      <c r="U26" s="30"/>
      <c r="V26" s="30"/>
    </row>
    <row r="27" spans="2:27" ht="14.45" customHeight="1">
      <c r="B27" s="10">
        <v>5</v>
      </c>
      <c r="C27" s="39" t="s">
        <v>85</v>
      </c>
      <c r="D27" s="57" t="s">
        <v>86</v>
      </c>
      <c r="E27" s="58"/>
      <c r="F27" s="58"/>
      <c r="G27" s="58"/>
      <c r="H27" s="10">
        <v>3</v>
      </c>
      <c r="I27" s="10"/>
      <c r="J27" s="54" t="s">
        <v>87</v>
      </c>
      <c r="K27" s="55"/>
      <c r="L27" s="55"/>
      <c r="M27" s="55"/>
      <c r="N27" s="59"/>
      <c r="P27" s="29"/>
      <c r="Q27" s="30"/>
      <c r="R27" s="30"/>
      <c r="S27" s="30"/>
      <c r="T27" s="30"/>
      <c r="U27" s="30"/>
      <c r="V27" s="30"/>
    </row>
    <row r="28" spans="2:27" ht="14.45" customHeight="1">
      <c r="B28" s="43">
        <v>6</v>
      </c>
      <c r="C28" s="49"/>
      <c r="D28" s="92" t="s">
        <v>88</v>
      </c>
      <c r="E28" s="93"/>
      <c r="F28" s="93"/>
      <c r="G28" s="93"/>
      <c r="H28" s="53">
        <v>3</v>
      </c>
      <c r="I28" s="49"/>
      <c r="J28" s="60"/>
      <c r="K28" s="61"/>
      <c r="L28" s="61"/>
      <c r="M28" s="61"/>
      <c r="N28" s="62"/>
      <c r="P28" s="29"/>
      <c r="Q28" s="30"/>
      <c r="R28" s="30"/>
      <c r="S28" s="30"/>
      <c r="T28" s="30"/>
      <c r="U28" s="30"/>
      <c r="V28" s="30"/>
    </row>
    <row r="29" spans="2:27" ht="14.45" customHeight="1">
      <c r="B29" s="10">
        <v>7</v>
      </c>
      <c r="C29" s="10"/>
      <c r="D29" s="89" t="s">
        <v>89</v>
      </c>
      <c r="E29" s="89"/>
      <c r="F29" s="89"/>
      <c r="G29" s="90"/>
      <c r="H29" s="10">
        <v>2</v>
      </c>
      <c r="I29" s="10"/>
      <c r="J29" s="91"/>
      <c r="K29" s="91"/>
      <c r="L29" s="91"/>
      <c r="M29" s="91"/>
      <c r="N29" s="91"/>
      <c r="P29" s="29"/>
      <c r="Q29" s="30"/>
      <c r="R29" s="30"/>
      <c r="S29" s="30"/>
      <c r="T29" s="30"/>
      <c r="U29" s="30"/>
      <c r="V29" s="30"/>
    </row>
    <row r="30" spans="2:27" ht="27.75" customHeight="1">
      <c r="B30" s="43">
        <v>8</v>
      </c>
      <c r="C30" s="10" t="s">
        <v>90</v>
      </c>
      <c r="D30" s="54" t="s">
        <v>91</v>
      </c>
      <c r="E30" s="55"/>
      <c r="F30" s="55"/>
      <c r="G30" s="55"/>
      <c r="H30" s="10"/>
      <c r="I30" s="10" t="s">
        <v>36</v>
      </c>
      <c r="J30" s="56" t="s">
        <v>92</v>
      </c>
      <c r="K30" s="56"/>
      <c r="L30" s="56"/>
      <c r="M30" s="56"/>
      <c r="N30" s="56"/>
      <c r="P30" s="29"/>
      <c r="Q30" s="30"/>
      <c r="R30" s="30"/>
      <c r="S30" s="30"/>
      <c r="T30" s="30"/>
      <c r="U30" s="30"/>
      <c r="V30" s="30"/>
    </row>
    <row r="31" spans="2:27" ht="14.45" customHeight="1">
      <c r="B31" s="10">
        <v>9</v>
      </c>
      <c r="C31" s="47" t="s">
        <v>93</v>
      </c>
      <c r="D31" s="65" t="s">
        <v>94</v>
      </c>
      <c r="E31" s="65"/>
      <c r="F31" s="65"/>
      <c r="G31" s="57"/>
      <c r="H31" s="10"/>
      <c r="I31" s="10" t="s">
        <v>36</v>
      </c>
      <c r="J31" s="79"/>
      <c r="K31" s="80"/>
      <c r="L31" s="80"/>
      <c r="M31" s="80"/>
      <c r="N31" s="81"/>
      <c r="P31" s="29"/>
      <c r="Q31" s="30"/>
      <c r="R31" s="30"/>
      <c r="S31" s="30"/>
      <c r="T31" s="30"/>
      <c r="U31" s="30"/>
      <c r="V31" s="30"/>
    </row>
    <row r="32" spans="2:27" ht="14.45" customHeight="1">
      <c r="B32" s="43">
        <v>10</v>
      </c>
      <c r="C32" s="47" t="s">
        <v>95</v>
      </c>
      <c r="D32" s="57" t="s">
        <v>96</v>
      </c>
      <c r="E32" s="58"/>
      <c r="F32" s="58"/>
      <c r="G32" s="58"/>
      <c r="H32" s="10"/>
      <c r="I32" s="10"/>
      <c r="J32" s="79"/>
      <c r="K32" s="80"/>
      <c r="L32" s="80"/>
      <c r="M32" s="80"/>
      <c r="N32" s="81"/>
      <c r="P32" s="29"/>
      <c r="Q32" s="30"/>
      <c r="R32" s="30"/>
      <c r="S32" s="30"/>
      <c r="T32" s="30"/>
      <c r="U32" s="30"/>
      <c r="V32" s="30"/>
    </row>
    <row r="33" spans="2:27" ht="33" customHeight="1">
      <c r="B33" s="10">
        <v>11</v>
      </c>
      <c r="C33" s="50"/>
      <c r="D33" s="66" t="s">
        <v>97</v>
      </c>
      <c r="E33" s="67"/>
      <c r="F33" s="67"/>
      <c r="G33" s="67"/>
      <c r="H33" s="53">
        <v>1</v>
      </c>
      <c r="I33" s="10"/>
      <c r="J33" s="79"/>
      <c r="K33" s="80"/>
      <c r="L33" s="80"/>
      <c r="M33" s="80"/>
      <c r="N33" s="81"/>
      <c r="P33" s="29"/>
      <c r="Q33" s="30"/>
      <c r="R33" s="30"/>
      <c r="S33" s="30"/>
      <c r="T33" s="30"/>
      <c r="U33" s="30"/>
      <c r="V33" s="30"/>
    </row>
    <row r="34" spans="2:27" ht="14.45" customHeight="1">
      <c r="B34" s="43">
        <v>12</v>
      </c>
      <c r="C34" s="46"/>
      <c r="D34" s="63" t="s">
        <v>55</v>
      </c>
      <c r="E34" s="64"/>
      <c r="F34" s="64"/>
      <c r="G34" s="64"/>
      <c r="H34" s="10">
        <v>1</v>
      </c>
      <c r="I34" s="10"/>
      <c r="J34" s="79"/>
      <c r="K34" s="80"/>
      <c r="L34" s="80"/>
      <c r="M34" s="80"/>
      <c r="N34" s="81"/>
      <c r="P34" s="29"/>
      <c r="Q34" s="30"/>
      <c r="R34" s="30"/>
      <c r="S34" s="30"/>
      <c r="T34" s="30"/>
      <c r="U34" s="30"/>
      <c r="V34" s="30"/>
    </row>
    <row r="35" spans="2:27" ht="15" customHeight="1">
      <c r="B35" s="10"/>
      <c r="C35" s="10"/>
      <c r="D35" s="79" t="s">
        <v>98</v>
      </c>
      <c r="E35" s="80"/>
      <c r="F35" s="80"/>
      <c r="G35" s="81"/>
      <c r="H35" s="45">
        <f>SUM(H23:H34)</f>
        <v>12</v>
      </c>
      <c r="I35" s="45"/>
      <c r="J35" s="85"/>
      <c r="K35" s="86"/>
      <c r="L35" s="86"/>
      <c r="M35" s="86"/>
      <c r="N35" s="87"/>
      <c r="P35" s="29"/>
      <c r="Q35" s="30"/>
      <c r="R35" s="30"/>
      <c r="S35" s="30"/>
      <c r="T35" s="30"/>
      <c r="U35" s="30"/>
      <c r="V35" s="30"/>
    </row>
    <row r="36" spans="2:27">
      <c r="P36" s="29"/>
      <c r="Q36" s="30"/>
      <c r="R36" s="30"/>
      <c r="S36" s="30"/>
      <c r="T36" s="30"/>
      <c r="U36" s="30"/>
      <c r="V36" s="30"/>
    </row>
    <row r="37" spans="2:27" s="13" customFormat="1" ht="23.45" customHeight="1">
      <c r="B37" s="68" t="s">
        <v>56</v>
      </c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P37" s="31"/>
      <c r="Q37" s="30"/>
      <c r="R37" s="30"/>
      <c r="S37" s="30"/>
      <c r="T37" s="30"/>
      <c r="U37" s="32"/>
      <c r="V37" s="32"/>
      <c r="W37" s="24"/>
      <c r="X37" s="24"/>
      <c r="Y37" s="24"/>
      <c r="Z37" s="24"/>
      <c r="AA37" s="24"/>
    </row>
    <row r="38" spans="2:27">
      <c r="B38" s="70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2"/>
      <c r="P38" s="29"/>
      <c r="Q38" s="30"/>
      <c r="R38" s="30"/>
      <c r="S38" s="30"/>
      <c r="T38" s="30"/>
      <c r="U38" s="30"/>
      <c r="V38" s="30"/>
    </row>
    <row r="39" spans="2:27">
      <c r="B39" s="73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5"/>
      <c r="P39" s="29"/>
      <c r="Q39" s="30"/>
      <c r="R39" s="30"/>
      <c r="S39" s="30"/>
      <c r="T39" s="30"/>
      <c r="U39" s="30"/>
      <c r="V39" s="30"/>
    </row>
    <row r="40" spans="2:27">
      <c r="B40" s="73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5"/>
      <c r="P40" s="29"/>
      <c r="Q40" s="30"/>
      <c r="R40" s="30"/>
      <c r="S40" s="30"/>
      <c r="T40" s="30"/>
      <c r="U40" s="30"/>
      <c r="V40" s="30"/>
    </row>
    <row r="41" spans="2:27">
      <c r="B41" s="73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5"/>
      <c r="P41" s="35"/>
      <c r="Q41" s="30"/>
      <c r="R41" s="30"/>
      <c r="S41" s="30"/>
      <c r="T41" s="30"/>
      <c r="U41" s="30"/>
      <c r="V41" s="30"/>
    </row>
    <row r="42" spans="2:27">
      <c r="B42" s="73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5"/>
      <c r="P42" s="35"/>
      <c r="Q42" s="30"/>
      <c r="R42" s="30"/>
      <c r="S42" s="30"/>
      <c r="T42" s="30"/>
      <c r="U42" s="30"/>
      <c r="V42" s="30"/>
    </row>
    <row r="43" spans="2:27">
      <c r="B43" s="73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5"/>
      <c r="P43" s="35"/>
      <c r="Q43" s="30"/>
      <c r="R43" s="30"/>
      <c r="S43" s="30"/>
      <c r="T43" s="30"/>
      <c r="U43" s="30"/>
      <c r="V43" s="30"/>
    </row>
    <row r="44" spans="2:27">
      <c r="B44" s="73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/>
      <c r="P44" s="29"/>
      <c r="Q44" s="30"/>
      <c r="R44" s="30"/>
      <c r="S44" s="30"/>
      <c r="T44" s="30"/>
      <c r="U44" s="30"/>
      <c r="V44" s="30"/>
    </row>
    <row r="45" spans="2:27">
      <c r="B45" s="73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/>
      <c r="P45" s="29"/>
      <c r="Q45" s="30"/>
      <c r="R45" s="30"/>
      <c r="S45" s="30"/>
      <c r="T45" s="30"/>
      <c r="U45" s="30"/>
      <c r="V45" s="30"/>
    </row>
    <row r="46" spans="2:27">
      <c r="B46" s="73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/>
      <c r="P46" s="29"/>
      <c r="Q46" s="30"/>
      <c r="R46" s="30"/>
      <c r="S46" s="30"/>
      <c r="T46" s="30"/>
      <c r="U46" s="30"/>
      <c r="V46" s="30"/>
    </row>
    <row r="47" spans="2:27">
      <c r="B47" s="73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/>
      <c r="P47" s="29"/>
      <c r="Q47" s="30"/>
      <c r="R47" s="30"/>
      <c r="S47" s="30"/>
      <c r="T47" s="30"/>
      <c r="U47" s="30"/>
      <c r="V47" s="30"/>
    </row>
    <row r="48" spans="2:27">
      <c r="B48" s="73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/>
    </row>
    <row r="49" spans="2:25">
      <c r="B49" s="73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5"/>
    </row>
    <row r="50" spans="2:25">
      <c r="B50" s="73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5"/>
    </row>
    <row r="51" spans="2:25">
      <c r="B51" s="73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5"/>
      <c r="R51" s="25"/>
      <c r="S51" s="25"/>
      <c r="T51" s="25"/>
      <c r="U51" s="25"/>
      <c r="V51" s="25"/>
      <c r="W51" s="25"/>
      <c r="X51" s="25"/>
      <c r="Y51" s="25"/>
    </row>
    <row r="52" spans="2:25">
      <c r="B52" s="73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/>
      <c r="R52" s="25"/>
      <c r="S52" s="25"/>
      <c r="T52" s="25"/>
      <c r="U52" s="25"/>
      <c r="V52" s="25"/>
      <c r="W52" s="25"/>
      <c r="X52" s="25"/>
      <c r="Y52" s="25"/>
    </row>
    <row r="53" spans="2:25">
      <c r="B53" s="73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5"/>
      <c r="R53" s="25"/>
      <c r="S53" s="25"/>
      <c r="T53" s="25"/>
      <c r="U53" s="25"/>
      <c r="V53" s="25"/>
      <c r="W53" s="25"/>
      <c r="X53" s="25"/>
      <c r="Y53" s="25"/>
    </row>
    <row r="54" spans="2:25"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5"/>
      <c r="R54" s="25"/>
      <c r="S54" s="36" t="s">
        <v>68</v>
      </c>
      <c r="T54" s="37" t="s">
        <v>69</v>
      </c>
      <c r="U54" s="37" t="s">
        <v>70</v>
      </c>
      <c r="V54" s="37" t="s">
        <v>71</v>
      </c>
      <c r="W54" s="25"/>
      <c r="X54" s="25"/>
      <c r="Y54" s="25"/>
    </row>
    <row r="55" spans="2:25">
      <c r="B55" s="73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5"/>
      <c r="R55" s="25"/>
      <c r="S55" s="82"/>
      <c r="T55" s="83"/>
      <c r="U55" s="84"/>
      <c r="V55" s="84"/>
      <c r="W55" s="25"/>
      <c r="X55" s="25"/>
      <c r="Y55" s="25"/>
    </row>
    <row r="56" spans="2:25">
      <c r="B56" s="73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5"/>
      <c r="R56" s="25"/>
      <c r="S56" s="82"/>
      <c r="T56" s="83"/>
      <c r="U56" s="84"/>
      <c r="V56" s="84"/>
      <c r="W56" s="25"/>
      <c r="X56" s="25"/>
      <c r="Y56" s="25"/>
    </row>
    <row r="57" spans="2:25">
      <c r="B57" s="73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5"/>
      <c r="R57" s="25"/>
      <c r="S57" s="82"/>
      <c r="T57" s="83"/>
      <c r="U57" s="84"/>
      <c r="V57" s="84"/>
      <c r="W57" s="25"/>
      <c r="X57" s="25"/>
      <c r="Y57" s="25"/>
    </row>
    <row r="58" spans="2:25">
      <c r="B58" s="73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5"/>
      <c r="R58" s="25"/>
      <c r="S58" s="38"/>
      <c r="T58" s="38"/>
      <c r="U58" s="38"/>
      <c r="V58" s="38"/>
      <c r="W58" s="25"/>
      <c r="X58" s="25"/>
      <c r="Y58" s="25"/>
    </row>
    <row r="59" spans="2:25">
      <c r="B59" s="76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8"/>
      <c r="R59" s="25"/>
      <c r="S59" s="25"/>
      <c r="T59" s="25"/>
      <c r="U59" s="25"/>
      <c r="V59" s="25"/>
      <c r="W59" s="25"/>
      <c r="X59" s="25"/>
      <c r="Y59" s="25"/>
    </row>
    <row r="60" spans="2:25">
      <c r="R60" s="25"/>
      <c r="S60" s="25"/>
      <c r="T60" s="25"/>
      <c r="U60" s="25"/>
      <c r="V60" s="25"/>
      <c r="W60" s="25"/>
      <c r="X60" s="25"/>
      <c r="Y60" s="25"/>
    </row>
    <row r="61" spans="2:25">
      <c r="R61" s="25"/>
      <c r="S61" s="25"/>
      <c r="T61" s="25"/>
      <c r="U61" s="25"/>
      <c r="V61" s="25"/>
      <c r="W61" s="25"/>
      <c r="X61" s="25"/>
      <c r="Y61" s="25"/>
    </row>
    <row r="62" spans="2:25">
      <c r="R62" s="25"/>
      <c r="S62" s="25"/>
      <c r="T62" s="25"/>
      <c r="U62" s="25"/>
      <c r="V62" s="25"/>
      <c r="W62" s="25"/>
      <c r="X62" s="25"/>
      <c r="Y62" s="25"/>
    </row>
    <row r="63" spans="2:25">
      <c r="R63" s="25"/>
      <c r="S63" s="25"/>
      <c r="T63" s="25"/>
      <c r="U63" s="25"/>
      <c r="V63" s="25"/>
      <c r="W63" s="25"/>
      <c r="X63" s="25"/>
      <c r="Y63" s="25"/>
    </row>
    <row r="64" spans="2:25">
      <c r="R64" s="25"/>
      <c r="S64" s="25"/>
      <c r="T64" s="25"/>
      <c r="U64" s="25"/>
      <c r="V64" s="25"/>
      <c r="W64" s="25"/>
      <c r="X64" s="25"/>
      <c r="Y64" s="25"/>
    </row>
    <row r="65" spans="18:25">
      <c r="R65" s="25"/>
      <c r="S65" s="25"/>
      <c r="T65" s="25"/>
      <c r="U65" s="25"/>
      <c r="V65" s="25"/>
      <c r="W65" s="25"/>
      <c r="X65" s="25"/>
      <c r="Y65" s="25"/>
    </row>
  </sheetData>
  <mergeCells count="54">
    <mergeCell ref="B11:C11"/>
    <mergeCell ref="E11:G11"/>
    <mergeCell ref="B5:N7"/>
    <mergeCell ref="B9:C9"/>
    <mergeCell ref="E9:G9"/>
    <mergeCell ref="B10:C10"/>
    <mergeCell ref="E10:G10"/>
    <mergeCell ref="D22:G22"/>
    <mergeCell ref="J22:N22"/>
    <mergeCell ref="B12:C12"/>
    <mergeCell ref="E12:G12"/>
    <mergeCell ref="B13:C13"/>
    <mergeCell ref="E13:G13"/>
    <mergeCell ref="B16:N16"/>
    <mergeCell ref="B17:C17"/>
    <mergeCell ref="D17:E17"/>
    <mergeCell ref="G17:N17"/>
    <mergeCell ref="D18:E18"/>
    <mergeCell ref="G18:N18"/>
    <mergeCell ref="D19:E19"/>
    <mergeCell ref="G19:N19"/>
    <mergeCell ref="B21:N21"/>
    <mergeCell ref="D23:G23"/>
    <mergeCell ref="J23:N23"/>
    <mergeCell ref="D24:G24"/>
    <mergeCell ref="J24:N24"/>
    <mergeCell ref="D25:G25"/>
    <mergeCell ref="J25:N25"/>
    <mergeCell ref="D26:G26"/>
    <mergeCell ref="J26:N26"/>
    <mergeCell ref="D28:G28"/>
    <mergeCell ref="D29:G29"/>
    <mergeCell ref="J29:N29"/>
    <mergeCell ref="S55:S57"/>
    <mergeCell ref="T55:T57"/>
    <mergeCell ref="U55:U57"/>
    <mergeCell ref="V55:V57"/>
    <mergeCell ref="D35:G35"/>
    <mergeCell ref="J35:N35"/>
    <mergeCell ref="D34:G34"/>
    <mergeCell ref="D31:G31"/>
    <mergeCell ref="D33:G33"/>
    <mergeCell ref="B37:N37"/>
    <mergeCell ref="B38:N59"/>
    <mergeCell ref="D32:G32"/>
    <mergeCell ref="J31:N31"/>
    <mergeCell ref="J33:N33"/>
    <mergeCell ref="J32:N32"/>
    <mergeCell ref="J34:N34"/>
    <mergeCell ref="D30:G30"/>
    <mergeCell ref="J30:N30"/>
    <mergeCell ref="D27:G27"/>
    <mergeCell ref="J27:N27"/>
    <mergeCell ref="J28:N2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C62CF6383B543409A11C34FAE3F918D" ma:contentTypeVersion="22" ma:contentTypeDescription="새 문서를 만듭니다." ma:contentTypeScope="" ma:versionID="260b722c102eb7154ba2b8902aa7194d">
  <xsd:schema xmlns:xsd="http://www.w3.org/2001/XMLSchema" xmlns:xs="http://www.w3.org/2001/XMLSchema" xmlns:p="http://schemas.microsoft.com/office/2006/metadata/properties" xmlns:ns2="2f9066cd-83ec-4beb-a9ff-6a2b920150f4" xmlns:ns3="5322d9bb-2af6-40b2-a832-1cd52287ccee" targetNamespace="http://schemas.microsoft.com/office/2006/metadata/properties" ma:root="true" ma:fieldsID="2b4621f08ed5540c24048a6021155860" ns2:_="" ns3:_="">
    <xsd:import namespace="2f9066cd-83ec-4beb-a9ff-6a2b920150f4"/>
    <xsd:import namespace="5322d9bb-2af6-40b2-a832-1cd52287cce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066cd-83ec-4beb-a9ff-6a2b920150f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0029aa7-f30e-47a9-aa58-138ac3886e47}" ma:internalName="TaxCatchAll" ma:showField="CatchAllData" ma:web="2f9066cd-83ec-4beb-a9ff-6a2b920150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2d9bb-2af6-40b2-a832-1cd52287c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da349791-9a97-4a39-b3bd-1db788a9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22d9bb-2af6-40b2-a832-1cd52287ccee">
      <Terms xmlns="http://schemas.microsoft.com/office/infopath/2007/PartnerControls"/>
    </lcf76f155ced4ddcb4097134ff3c332f>
    <TaxCatchAll xmlns="2f9066cd-83ec-4beb-a9ff-6a2b920150f4" xsi:nil="true"/>
    <_ApprovalAssignedTo xmlns="5322d9bb-2af6-40b2-a832-1cd52287ccee">
      <UserInfo>
        <DisplayName/>
        <AccountId xsi:nil="true"/>
        <AccountType/>
      </UserInfo>
    </_ApprovalAssignedTo>
    <_ApprovalRespondedBy xmlns="5322d9bb-2af6-40b2-a832-1cd52287ccee">
      <UserInfo>
        <DisplayName/>
        <AccountId xsi:nil="true"/>
        <AccountType/>
      </UserInfo>
    </_ApprovalRespondedBy>
    <_ApprovalStatus xmlns="5322d9bb-2af6-40b2-a832-1cd52287ccee">0</_ApprovalStatus>
    <_ApprovalSentBy xmlns="5322d9bb-2af6-40b2-a832-1cd52287cce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8BD74E3E-F518-4157-9512-61955D937545}"/>
</file>

<file path=customXml/itemProps2.xml><?xml version="1.0" encoding="utf-8"?>
<ds:datastoreItem xmlns:ds="http://schemas.openxmlformats.org/officeDocument/2006/customXml" ds:itemID="{D060C025-3871-4117-A264-5BCF448BA993}"/>
</file>

<file path=customXml/itemProps3.xml><?xml version="1.0" encoding="utf-8"?>
<ds:datastoreItem xmlns:ds="http://schemas.openxmlformats.org/officeDocument/2006/customXml" ds:itemID="{5D650A4E-7E7D-4002-9C16-D132EC9D2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인규 고</dc:creator>
  <cp:keywords/>
  <dc:description/>
  <cp:lastModifiedBy/>
  <cp:revision/>
  <dcterms:created xsi:type="dcterms:W3CDTF">2026-08-09T07:34:24Z</dcterms:created>
  <dcterms:modified xsi:type="dcterms:W3CDTF">2026-09-15T07:05:33Z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0x0101007C62CF6383B543409A11C34FAE3F918D</vt:lpwstr>
  </property>
  <property fmtid="{D5CDD505-2E9C-101B-9397-08002B2CF9AE}" pid="3" name="MediaServiceImageTags">
    <vt:lpwstr/>
  </property>
</Properties>
</file>